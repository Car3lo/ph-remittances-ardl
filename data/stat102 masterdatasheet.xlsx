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remit" sheetId="2" r:id="rId5"/>
    <sheet state="visible" name="inf" sheetId="3" r:id="rId6"/>
    <sheet state="visible" name="ex" sheetId="4" r:id="rId7"/>
    <sheet state="visible" name="int" sheetId="5" r:id="rId8"/>
    <sheet state="visible" name="unem" sheetId="6" r:id="rId9"/>
    <sheet state="visible" name="ggrowth" sheetId="7" r:id="rId10"/>
    <sheet state="visible" name="philippines_typhoon_monthly_201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sum of the monthly remittances of that quarter
	-Carlito D. Ubaldo</t>
      </text>
    </comment>
  </commentList>
</comments>
</file>

<file path=xl/sharedStrings.xml><?xml version="1.0" encoding="utf-8"?>
<sst xmlns="http://schemas.openxmlformats.org/spreadsheetml/2006/main" count="109" uniqueCount="42">
  <si>
    <t>date</t>
  </si>
  <si>
    <t>remit</t>
  </si>
  <si>
    <t>typhoon</t>
  </si>
  <si>
    <t>ex</t>
  </si>
  <si>
    <t>inf</t>
  </si>
  <si>
    <t>int</t>
  </si>
  <si>
    <t>unem</t>
  </si>
  <si>
    <t>ggrowth</t>
  </si>
  <si>
    <t>remittances (sum)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</si>
  <si>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</si>
  <si>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</si>
  <si>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</si>
  <si>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</si>
  <si>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</si>
  <si>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</si>
  <si>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</si>
  <si>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</si>
  <si>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</si>
  <si>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</si>
  <si>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</si>
  <si>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</si>
  <si>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inflation rate (average)</t>
  </si>
  <si>
    <t>q1</t>
  </si>
  <si>
    <t>q2</t>
  </si>
  <si>
    <t>q3</t>
  </si>
  <si>
    <t>q4</t>
  </si>
  <si>
    <t>exchange rate (average)</t>
  </si>
  <si>
    <t>Savings Deposit Rate (average)</t>
  </si>
  <si>
    <t>unemployment rate (average)</t>
  </si>
  <si>
    <t>gdp growth rate (in percent)</t>
  </si>
  <si>
    <t>Year</t>
  </si>
  <si>
    <t>Month</t>
  </si>
  <si>
    <t>Number_of_Typhoons</t>
  </si>
  <si>
    <t>ONI</t>
  </si>
  <si>
    <t>Nino3.4_SST_anomaly</t>
  </si>
  <si>
    <t>Western_Pacific_SST</t>
  </si>
  <si>
    <t>Vertical_Wind_Shear</t>
  </si>
  <si>
    <t>Midlevel_Humidity</t>
  </si>
  <si>
    <t>SeaLevelPressure</t>
  </si>
  <si>
    <t>MJO_Phase</t>
  </si>
  <si>
    <t>Prev_month_typhoons</t>
  </si>
  <si>
    <t>typhoons (sum)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</si>
</sst>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1" fillId="0" fontId="1" numFmtId="0" xfId="0" applyAlignment="1" applyBorder="1" applyFont="1">
      <alignment readingOrder="0"/>
    </xf>
    <xf borderId="2" fillId="0" fontId="2" numFmtId="0" xfId="0" applyBorder="1" applyFont="1"/>
    <xf borderId="1" fillId="0" fontId="2" numFmtId="3" xfId="0" applyBorder="1" applyFont="1" applyNumberFormat="1"/>
    <xf borderId="2" fillId="0" fontId="1" numFmtId="0" xfId="0" applyAlignment="1" applyBorder="1" applyFont="1">
      <alignment readingOrder="0"/>
    </xf>
    <xf borderId="0" fillId="2" fontId="2" numFmtId="3" xfId="0" applyAlignment="1" applyFill="1" applyFont="1" applyNumberFormat="1">
      <alignment readingOrder="0"/>
    </xf>
    <xf borderId="0" fillId="0" fontId="1" numFmtId="3" xfId="0" applyFont="1" applyNumberFormat="1"/>
    <xf borderId="0" fillId="0" fontId="1" numFmtId="0" xfId="0" applyFont="1"/>
    <xf borderId="2" fillId="0" fontId="1" numFmtId="0" xfId="0" applyBorder="1" applyFont="1"/>
    <xf borderId="0" fillId="0" fontId="2" numFmtId="3" xfId="0" applyAlignment="1" applyFont="1" applyNumberForma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2" numFmtId="165" xfId="0" applyBorder="1" applyFont="1" applyNumberFormat="1"/>
    <xf borderId="2" fillId="0" fontId="2" numFmtId="0" xfId="0" applyAlignment="1" applyBorder="1" applyFont="1">
      <alignment readingOrder="0"/>
    </xf>
    <xf borderId="0" fillId="2" fontId="2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2" numFmtId="0" xfId="0" applyAlignment="1" applyFont="1">
      <alignment readingOrder="0"/>
    </xf>
    <xf borderId="0" fillId="2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41640.0</v>
      </c>
      <c r="B2" s="3">
        <f>remit!B2</f>
        <v>1608714</v>
      </c>
      <c r="C2" s="4">
        <f>IFERROR(__xludf.DUMMYFUNCTION("FILTER(FLATTEN(philippines_typhoon_monthly_201!N2:N1001), FLATTEN(philippines_typhoon_monthly_201!N2:N1001) &lt;&gt; """")
"),1.0)</f>
        <v>1</v>
      </c>
      <c r="D2" s="4">
        <f>ex!B2</f>
        <v>44.93566667</v>
      </c>
      <c r="E2" s="5">
        <f>inf!B2</f>
        <v>3.6</v>
      </c>
      <c r="F2" s="5">
        <f>int!B2</f>
        <v>0.5373333333</v>
      </c>
      <c r="G2" s="5">
        <f>unem!B2</f>
        <v>7.5</v>
      </c>
      <c r="H2" s="6">
        <f>ggrowth!B2</f>
        <v>9.5</v>
      </c>
    </row>
    <row r="3">
      <c r="A3" s="2">
        <v>41730.0</v>
      </c>
      <c r="B3" s="3">
        <f>remit!B3</f>
        <v>1738037</v>
      </c>
      <c r="C3" s="4">
        <f>IFERROR(__xludf.DUMMYFUNCTION("""COMPUTED_VALUE"""),3.0)</f>
        <v>3</v>
      </c>
      <c r="D3" s="4">
        <f>ex!B3</f>
        <v>44.05666667</v>
      </c>
      <c r="E3" s="5">
        <f>inf!B3</f>
        <v>3.8</v>
      </c>
      <c r="F3" s="5">
        <f>int!B3</f>
        <v>0.6276666667</v>
      </c>
      <c r="G3" s="5">
        <f>unem!B3</f>
        <v>7</v>
      </c>
      <c r="H3" s="6">
        <f>ggrowth!B3</f>
        <v>10.1</v>
      </c>
    </row>
    <row r="4">
      <c r="A4" s="2">
        <v>41821.0</v>
      </c>
      <c r="B4" s="3">
        <f>remit!B4</f>
        <v>1965309</v>
      </c>
      <c r="C4" s="4">
        <f>IFERROR(__xludf.DUMMYFUNCTION("""COMPUTED_VALUE"""),7.0)</f>
        <v>7</v>
      </c>
      <c r="D4" s="4">
        <f>ex!B4</f>
        <v>44.01166667</v>
      </c>
      <c r="E4" s="5">
        <f>inf!B4</f>
        <v>4.1</v>
      </c>
      <c r="F4" s="5">
        <f>int!B4</f>
        <v>0.6463333333</v>
      </c>
      <c r="G4" s="5">
        <f>unem!B4</f>
        <v>6.7</v>
      </c>
      <c r="H4" s="6">
        <f>ggrowth!B4</f>
        <v>8.9</v>
      </c>
    </row>
    <row r="5">
      <c r="A5" s="2">
        <v>41913.0</v>
      </c>
      <c r="B5" s="3">
        <f>remit!B5</f>
        <v>2091473</v>
      </c>
      <c r="C5" s="4">
        <f>IFERROR(__xludf.DUMMYFUNCTION("""COMPUTED_VALUE"""),5.0)</f>
        <v>5</v>
      </c>
      <c r="D5" s="4">
        <f>ex!B5</f>
        <v>44.803</v>
      </c>
      <c r="E5" s="5">
        <f>inf!B5</f>
        <v>2.866666667</v>
      </c>
      <c r="F5" s="5">
        <f>int!B5</f>
        <v>0.7026666667</v>
      </c>
      <c r="G5" s="5">
        <f>unem!B5</f>
        <v>6</v>
      </c>
      <c r="H5" s="6">
        <f>ggrowth!B5</f>
        <v>9.8</v>
      </c>
    </row>
    <row r="6">
      <c r="A6" s="2">
        <v>42005.0</v>
      </c>
      <c r="B6" s="3">
        <f>remit!B6</f>
        <v>2202824</v>
      </c>
      <c r="C6" s="4">
        <f>IFERROR(__xludf.DUMMYFUNCTION("""COMPUTED_VALUE"""),1.0)</f>
        <v>1</v>
      </c>
      <c r="D6" s="4">
        <f>ex!B6</f>
        <v>44.33833333</v>
      </c>
      <c r="E6" s="5">
        <f>inf!B6</f>
        <v>1.5</v>
      </c>
      <c r="F6" s="5">
        <f>int!B6</f>
        <v>0.7173333333</v>
      </c>
      <c r="G6" s="5">
        <f>unem!B6</f>
        <v>6.6</v>
      </c>
      <c r="H6" s="6">
        <f>ggrowth!B6</f>
        <v>5.5</v>
      </c>
    </row>
    <row r="7">
      <c r="A7" s="2">
        <v>42095.0</v>
      </c>
      <c r="B7" s="3">
        <f>remit!B7</f>
        <v>2056654</v>
      </c>
      <c r="C7" s="4">
        <f>IFERROR(__xludf.DUMMYFUNCTION("""COMPUTED_VALUE"""),1.0)</f>
        <v>1</v>
      </c>
      <c r="D7" s="4">
        <f>ex!B7</f>
        <v>44.7</v>
      </c>
      <c r="E7" s="5">
        <f>inf!B7</f>
        <v>0.9666666667</v>
      </c>
      <c r="F7" s="5">
        <f>int!B7</f>
        <v>0.672</v>
      </c>
      <c r="G7" s="5">
        <f>unem!B7</f>
        <v>6.4</v>
      </c>
      <c r="H7" s="6">
        <f>ggrowth!B7</f>
        <v>6</v>
      </c>
    </row>
    <row r="8">
      <c r="A8" s="2">
        <v>42186.0</v>
      </c>
      <c r="B8" s="3">
        <f>remit!B8</f>
        <v>2139711</v>
      </c>
      <c r="C8" s="4">
        <f>IFERROR(__xludf.DUMMYFUNCTION("""COMPUTED_VALUE"""),2.0)</f>
        <v>2</v>
      </c>
      <c r="D8" s="4">
        <f>ex!B8</f>
        <v>46.41633333</v>
      </c>
      <c r="E8" s="5">
        <f>inf!B8</f>
        <v>-0.06666666667</v>
      </c>
      <c r="F8" s="5">
        <f>int!B8</f>
        <v>0.7213333333</v>
      </c>
      <c r="G8" s="5">
        <f>unem!B8</f>
        <v>6.5</v>
      </c>
      <c r="H8" s="6">
        <f>ggrowth!B8</f>
        <v>4.9</v>
      </c>
    </row>
    <row r="9">
      <c r="A9" s="2">
        <v>42278.0</v>
      </c>
      <c r="B9" s="3">
        <f>remit!B9</f>
        <v>2009401</v>
      </c>
      <c r="C9" s="4">
        <f>IFERROR(__xludf.DUMMYFUNCTION("""COMPUTED_VALUE"""),5.0)</f>
        <v>5</v>
      </c>
      <c r="D9" s="4">
        <f>ex!B9</f>
        <v>47.04166667</v>
      </c>
      <c r="E9" s="5">
        <f>inf!B9</f>
        <v>0.2666666667</v>
      </c>
      <c r="F9" s="5">
        <f>int!B9</f>
        <v>0.7273333333</v>
      </c>
      <c r="G9" s="5">
        <f>unem!B9</f>
        <v>5.7</v>
      </c>
      <c r="H9" s="6">
        <f>ggrowth!B9</f>
        <v>5.8</v>
      </c>
    </row>
    <row r="10">
      <c r="A10" s="2">
        <v>42370.0</v>
      </c>
      <c r="B10" s="3">
        <f>remit!B10</f>
        <v>2044177</v>
      </c>
      <c r="C10" s="4">
        <f>IFERROR(__xludf.DUMMYFUNCTION("""COMPUTED_VALUE"""),0.0)</f>
        <v>0</v>
      </c>
      <c r="D10" s="4">
        <f>ex!B10</f>
        <v>47.16366667</v>
      </c>
      <c r="E10" s="5">
        <f>inf!B10</f>
        <v>0.6</v>
      </c>
      <c r="F10" s="5">
        <f>int!B10</f>
        <v>0.7173333333</v>
      </c>
      <c r="G10" s="5">
        <f>unem!B10</f>
        <v>5.8</v>
      </c>
      <c r="H10" s="6">
        <f>ggrowth!B10</f>
        <v>7.3</v>
      </c>
    </row>
    <row r="11">
      <c r="A11" s="2">
        <v>42461.0</v>
      </c>
      <c r="B11" s="3">
        <f>remit!B11</f>
        <v>2235404</v>
      </c>
      <c r="C11" s="4">
        <f>IFERROR(__xludf.DUMMYFUNCTION("""COMPUTED_VALUE"""),3.0)</f>
        <v>3</v>
      </c>
      <c r="D11" s="4">
        <f>ex!B11</f>
        <v>46.836</v>
      </c>
      <c r="E11" s="5">
        <f>inf!B11</f>
        <v>0.9666666667</v>
      </c>
      <c r="F11" s="5">
        <f>int!B11</f>
        <v>0.672</v>
      </c>
      <c r="G11" s="5">
        <f>unem!B11</f>
        <v>6.1</v>
      </c>
      <c r="H11" s="6">
        <f>ggrowth!B11</f>
        <v>8.5</v>
      </c>
    </row>
    <row r="12">
      <c r="A12" s="2">
        <v>42552.0</v>
      </c>
      <c r="B12" s="3">
        <f>remit!B12</f>
        <v>2316851</v>
      </c>
      <c r="C12" s="4">
        <f>IFERROR(__xludf.DUMMYFUNCTION("""COMPUTED_VALUE"""),5.0)</f>
        <v>5</v>
      </c>
      <c r="D12" s="4">
        <f>ex!B12</f>
        <v>47.26966667</v>
      </c>
      <c r="E12" s="5">
        <f>inf!B12</f>
        <v>1.433333333</v>
      </c>
      <c r="F12" s="5">
        <f>int!B12</f>
        <v>0.7213333333</v>
      </c>
      <c r="G12" s="5">
        <f>unem!B12</f>
        <v>5.4</v>
      </c>
      <c r="H12" s="6">
        <f>ggrowth!B12</f>
        <v>9.4</v>
      </c>
    </row>
    <row r="13">
      <c r="A13" s="2">
        <v>42644.0</v>
      </c>
      <c r="B13" s="3">
        <f>remit!B13</f>
        <v>2334837</v>
      </c>
      <c r="C13" s="4">
        <f>IFERROR(__xludf.DUMMYFUNCTION("""COMPUTED_VALUE"""),9.0)</f>
        <v>9</v>
      </c>
      <c r="D13" s="4">
        <f>ex!B13</f>
        <v>49.36833333</v>
      </c>
      <c r="E13" s="5">
        <f>inf!B13</f>
        <v>2.033333333</v>
      </c>
      <c r="F13" s="5">
        <f>int!B13</f>
        <v>0.7273333333</v>
      </c>
      <c r="G13" s="5">
        <f>unem!B13</f>
        <v>4.7</v>
      </c>
      <c r="H13" s="6">
        <f>ggrowth!B13</f>
        <v>8.8</v>
      </c>
    </row>
    <row r="14">
      <c r="A14" s="2">
        <v>42736.0</v>
      </c>
      <c r="B14" s="3">
        <f>remit!B14</f>
        <v>2277222</v>
      </c>
      <c r="C14" s="4">
        <f>IFERROR(__xludf.DUMMYFUNCTION("""COMPUTED_VALUE"""),1.0)</f>
        <v>1</v>
      </c>
      <c r="D14" s="4">
        <f>ex!B14</f>
        <v>50.09166667</v>
      </c>
      <c r="E14" s="5">
        <f>inf!B14</f>
        <v>2.9</v>
      </c>
      <c r="F14" s="5">
        <f>int!B14</f>
        <v>0.6886666667</v>
      </c>
      <c r="G14" s="5">
        <f>unem!B14</f>
        <v>6.6</v>
      </c>
      <c r="H14" s="6">
        <f>ggrowth!B14</f>
        <v>9</v>
      </c>
    </row>
    <row r="15">
      <c r="A15" s="2">
        <v>42826.0</v>
      </c>
      <c r="B15" s="3">
        <f>remit!B15</f>
        <v>2289870</v>
      </c>
      <c r="C15" s="4">
        <f>IFERROR(__xludf.DUMMYFUNCTION("""COMPUTED_VALUE"""),4.0)</f>
        <v>4</v>
      </c>
      <c r="D15" s="4">
        <f>ex!B15</f>
        <v>50.01066667</v>
      </c>
      <c r="E15" s="5">
        <f>inf!B15</f>
        <v>2.866666667</v>
      </c>
      <c r="F15" s="5">
        <f>int!B15</f>
        <v>0.6653333333</v>
      </c>
      <c r="G15" s="5">
        <f>unem!B15</f>
        <v>5.7</v>
      </c>
      <c r="H15" s="6">
        <f>ggrowth!B15</f>
        <v>9.6</v>
      </c>
    </row>
    <row r="16">
      <c r="A16" s="2">
        <v>42917.0</v>
      </c>
      <c r="B16" s="3">
        <f>remit!B16</f>
        <v>2395900</v>
      </c>
      <c r="C16" s="4">
        <f>IFERROR(__xludf.DUMMYFUNCTION("""COMPUTED_VALUE"""),8.0)</f>
        <v>8</v>
      </c>
      <c r="D16" s="4">
        <f>ex!B16</f>
        <v>50.94033333</v>
      </c>
      <c r="E16" s="5">
        <f>inf!B16</f>
        <v>2.666666667</v>
      </c>
      <c r="F16" s="5">
        <f>int!B16</f>
        <v>0.698</v>
      </c>
      <c r="G16" s="5">
        <f>unem!B16</f>
        <v>5.6</v>
      </c>
      <c r="H16" s="6">
        <f>ggrowth!B16</f>
        <v>10.2</v>
      </c>
    </row>
    <row r="17">
      <c r="A17" s="2">
        <v>43009.0</v>
      </c>
      <c r="B17" s="3">
        <f>remit!B17</f>
        <v>2459318</v>
      </c>
      <c r="C17" s="4">
        <f>IFERROR(__xludf.DUMMYFUNCTION("""COMPUTED_VALUE"""),5.0)</f>
        <v>5</v>
      </c>
      <c r="D17" s="4">
        <f>ex!B17</f>
        <v>50.69566667</v>
      </c>
      <c r="E17" s="5">
        <f>inf!B17</f>
        <v>3</v>
      </c>
      <c r="F17" s="5">
        <f>int!B17</f>
        <v>0.688</v>
      </c>
      <c r="G17" s="5">
        <f>unem!B17</f>
        <v>5</v>
      </c>
      <c r="H17" s="6">
        <f>ggrowth!B17</f>
        <v>8.9</v>
      </c>
    </row>
    <row r="18">
      <c r="A18" s="2">
        <v>43101.0</v>
      </c>
      <c r="B18" s="3">
        <f>remit!B18</f>
        <v>2362752</v>
      </c>
      <c r="C18" s="4">
        <f>IFERROR(__xludf.DUMMYFUNCTION("""COMPUTED_VALUE"""),2.0)</f>
        <v>2</v>
      </c>
      <c r="D18" s="4">
        <f>ex!B18</f>
        <v>51.88733333</v>
      </c>
      <c r="E18" s="5">
        <f>inf!B18</f>
        <v>3.8</v>
      </c>
      <c r="F18" s="5">
        <f>int!B18</f>
        <v>0.742</v>
      </c>
      <c r="G18" s="5">
        <f>unem!B18</f>
        <v>5.3</v>
      </c>
      <c r="H18" s="6">
        <f>ggrowth!B18</f>
        <v>9.5</v>
      </c>
    </row>
    <row r="19">
      <c r="A19" s="2">
        <v>43191.0</v>
      </c>
      <c r="B19" s="3">
        <f>remit!B19</f>
        <v>2477790</v>
      </c>
      <c r="C19" s="4">
        <f>IFERROR(__xludf.DUMMYFUNCTION("""COMPUTED_VALUE"""),0.0)</f>
        <v>0</v>
      </c>
      <c r="D19" s="4">
        <f>ex!B19</f>
        <v>52.72533333</v>
      </c>
      <c r="E19" s="5">
        <f>inf!B19</f>
        <v>4.633333333</v>
      </c>
      <c r="F19" s="5">
        <f>int!B19</f>
        <v>0.7843333333</v>
      </c>
      <c r="G19" s="5">
        <f>unem!B19</f>
        <v>5.5</v>
      </c>
      <c r="H19" s="6">
        <f>ggrowth!B19</f>
        <v>10</v>
      </c>
    </row>
    <row r="20">
      <c r="A20" s="2">
        <v>43282.0</v>
      </c>
      <c r="B20" s="3">
        <f>remit!B20</f>
        <v>2529585</v>
      </c>
      <c r="C20" s="4">
        <f>IFERROR(__xludf.DUMMYFUNCTION("""COMPUTED_VALUE"""),6.0)</f>
        <v>6</v>
      </c>
      <c r="D20" s="4">
        <f>ex!B20</f>
        <v>53.64933333</v>
      </c>
      <c r="E20" s="5">
        <f>inf!B20</f>
        <v>6.433333333</v>
      </c>
      <c r="F20" s="5">
        <f>int!B20</f>
        <v>0.9186666667</v>
      </c>
      <c r="G20" s="5">
        <f>unem!B20</f>
        <v>5.4</v>
      </c>
      <c r="H20" s="6">
        <f>ggrowth!B20</f>
        <v>10.8</v>
      </c>
    </row>
    <row r="21">
      <c r="A21" s="2">
        <v>43374.0</v>
      </c>
      <c r="B21" s="3">
        <f>remit!B21</f>
        <v>2616266</v>
      </c>
      <c r="C21" s="4">
        <f>IFERROR(__xludf.DUMMYFUNCTION("""COMPUTED_VALUE"""),5.0)</f>
        <v>5</v>
      </c>
      <c r="D21" s="4">
        <f>ex!B21</f>
        <v>52.97933333</v>
      </c>
      <c r="E21" s="5">
        <f>inf!B21</f>
        <v>6.066666667</v>
      </c>
      <c r="F21" s="5">
        <f>int!B21</f>
        <v>1.134333333</v>
      </c>
      <c r="G21" s="5">
        <f>unem!B21</f>
        <v>5.1</v>
      </c>
      <c r="H21" s="6">
        <f>ggrowth!B21</f>
        <v>10.9</v>
      </c>
    </row>
    <row r="22">
      <c r="A22" s="2">
        <v>43466.0</v>
      </c>
      <c r="B22" s="3">
        <f>remit!B22</f>
        <v>2562924</v>
      </c>
      <c r="C22" s="4">
        <f>IFERROR(__xludf.DUMMYFUNCTION("""COMPUTED_VALUE"""),1.0)</f>
        <v>1</v>
      </c>
      <c r="D22" s="4">
        <f>ex!B22</f>
        <v>52.38</v>
      </c>
      <c r="E22" s="5">
        <f>inf!B22</f>
        <v>3.866666667</v>
      </c>
      <c r="F22" s="5">
        <f>int!B22</f>
        <v>1.350333333</v>
      </c>
      <c r="G22" s="5">
        <f>unem!B22</f>
        <v>5.2</v>
      </c>
      <c r="H22" s="6">
        <f>ggrowth!B22</f>
        <v>7.9</v>
      </c>
    </row>
    <row r="23">
      <c r="A23" s="2">
        <v>43556.0</v>
      </c>
      <c r="B23" s="3">
        <f>remit!B23</f>
        <v>2759732</v>
      </c>
      <c r="C23" s="4">
        <f>IFERROR(__xludf.DUMMYFUNCTION("""COMPUTED_VALUE"""),4.0)</f>
        <v>4</v>
      </c>
      <c r="D23" s="4">
        <f>ex!B23</f>
        <v>51.907</v>
      </c>
      <c r="E23" s="5">
        <f>inf!B23</f>
        <v>3.033333333</v>
      </c>
      <c r="F23" s="5">
        <f>int!B23</f>
        <v>1.309333333</v>
      </c>
      <c r="G23" s="5">
        <f>unem!B23</f>
        <v>5.1</v>
      </c>
      <c r="H23" s="6">
        <f>ggrowth!B23</f>
        <v>6.5</v>
      </c>
    </row>
    <row r="24">
      <c r="A24" s="2">
        <v>43647.0</v>
      </c>
      <c r="B24" s="3">
        <f>remit!B24</f>
        <v>2986578</v>
      </c>
      <c r="C24" s="4">
        <f>IFERROR(__xludf.DUMMYFUNCTION("""COMPUTED_VALUE"""),3.0)</f>
        <v>3</v>
      </c>
      <c r="D24" s="4">
        <f>ex!B24</f>
        <v>51.798</v>
      </c>
      <c r="E24" s="5">
        <f>inf!B24</f>
        <v>1.366666667</v>
      </c>
      <c r="F24" s="5">
        <f>int!B24</f>
        <v>1.278666667</v>
      </c>
      <c r="G24" s="5">
        <f>unem!B24</f>
        <v>5.4</v>
      </c>
      <c r="H24" s="6">
        <f>ggrowth!B24</f>
        <v>6.2</v>
      </c>
    </row>
    <row r="25">
      <c r="A25" s="2">
        <v>43739.0</v>
      </c>
      <c r="B25" s="3">
        <f>remit!B25</f>
        <v>3009099</v>
      </c>
      <c r="C25" s="4">
        <f>IFERROR(__xludf.DUMMYFUNCTION("""COMPUTED_VALUE"""),6.0)</f>
        <v>6</v>
      </c>
      <c r="D25" s="4">
        <f>ex!B25</f>
        <v>50.85833333</v>
      </c>
      <c r="E25" s="5">
        <f>inf!B25</f>
        <v>1.4</v>
      </c>
      <c r="F25" s="5">
        <f>int!B25</f>
        <v>0.989</v>
      </c>
      <c r="G25" s="5">
        <f>unem!B25</f>
        <v>4.5</v>
      </c>
      <c r="H25" s="6">
        <f>ggrowth!B25</f>
        <v>6.9</v>
      </c>
    </row>
    <row r="26">
      <c r="A26" s="2">
        <v>43831.0</v>
      </c>
      <c r="B26" s="3">
        <f>remit!B26</f>
        <v>2885272</v>
      </c>
      <c r="C26" s="4">
        <f>IFERROR(__xludf.DUMMYFUNCTION("""COMPUTED_VALUE"""),3.0)</f>
        <v>3</v>
      </c>
      <c r="D26" s="4">
        <f>ex!B26</f>
        <v>50.96166667</v>
      </c>
      <c r="E26" s="5">
        <f>inf!B26</f>
        <v>2.566666667</v>
      </c>
      <c r="F26" s="5">
        <f>int!B26</f>
        <v>0.3583333333</v>
      </c>
      <c r="G26" s="5">
        <f>unem!B26</f>
        <v>5.3</v>
      </c>
      <c r="H26" s="6">
        <f>ggrowth!B26</f>
        <v>0.5</v>
      </c>
    </row>
    <row r="27">
      <c r="A27" s="2">
        <v>43922.0</v>
      </c>
      <c r="B27" s="3">
        <f>remit!B27</f>
        <v>2681014</v>
      </c>
      <c r="C27" s="4">
        <f>IFERROR(__xludf.DUMMYFUNCTION("""COMPUTED_VALUE"""),4.0)</f>
        <v>4</v>
      </c>
      <c r="D27" s="4">
        <f>ex!B27</f>
        <v>50.389</v>
      </c>
      <c r="E27" s="5">
        <f>inf!B27</f>
        <v>1.9</v>
      </c>
      <c r="F27" s="5">
        <f>int!B27</f>
        <v>0.3866666667</v>
      </c>
      <c r="G27" s="5">
        <f>unem!B27</f>
        <v>17.6</v>
      </c>
      <c r="H27" s="6">
        <f>ggrowth!B27</f>
        <v>-15</v>
      </c>
    </row>
    <row r="28">
      <c r="A28" s="2">
        <v>44013.0</v>
      </c>
      <c r="B28" s="3">
        <f>remit!B28</f>
        <v>3210620</v>
      </c>
      <c r="C28" s="4">
        <f>IFERROR(__xludf.DUMMYFUNCTION("""COMPUTED_VALUE"""),9.0)</f>
        <v>9</v>
      </c>
      <c r="D28" s="4">
        <f>ex!B28</f>
        <v>48.76766667</v>
      </c>
      <c r="E28" s="5">
        <f>inf!B28</f>
        <v>2.266666667</v>
      </c>
      <c r="F28" s="5">
        <f>int!B28</f>
        <v>0.388</v>
      </c>
      <c r="G28" s="5">
        <f>unem!B28</f>
        <v>10</v>
      </c>
      <c r="H28" s="6">
        <f>ggrowth!B28</f>
        <v>-11</v>
      </c>
    </row>
    <row r="29">
      <c r="A29" s="2">
        <v>44105.0</v>
      </c>
      <c r="B29" s="3">
        <f>remit!B29</f>
        <v>3159448</v>
      </c>
      <c r="C29" s="4">
        <f>IFERROR(__xludf.DUMMYFUNCTION("""COMPUTED_VALUE"""),9.0)</f>
        <v>9</v>
      </c>
      <c r="D29" s="4">
        <f>ex!B29</f>
        <v>48.17966667</v>
      </c>
      <c r="E29" s="5">
        <f>inf!B29</f>
        <v>2.866666667</v>
      </c>
      <c r="F29" s="5">
        <f>int!B29</f>
        <v>0.3103333333</v>
      </c>
      <c r="G29" s="5">
        <f>unem!B29</f>
        <v>8.7</v>
      </c>
      <c r="H29" s="6">
        <f>ggrowth!B29</f>
        <v>-6.2</v>
      </c>
    </row>
    <row r="30">
      <c r="A30" s="2">
        <v>44197.0</v>
      </c>
      <c r="B30" s="3">
        <f>remit!B30</f>
        <v>3096814</v>
      </c>
      <c r="C30" s="4">
        <f>IFERROR(__xludf.DUMMYFUNCTION("""COMPUTED_VALUE"""),1.0)</f>
        <v>1</v>
      </c>
      <c r="D30" s="4">
        <f>ex!B30</f>
        <v>48.408</v>
      </c>
      <c r="E30" s="5">
        <f>inf!B30</f>
        <v>4</v>
      </c>
      <c r="F30" s="5">
        <f>int!B30</f>
        <v>0.2073333333</v>
      </c>
      <c r="G30" s="5">
        <f>unem!B30</f>
        <v>8.233333333</v>
      </c>
      <c r="H30" s="6">
        <f>ggrowth!B30</f>
        <v>-1.7</v>
      </c>
    </row>
    <row r="31">
      <c r="A31" s="2">
        <v>44287.0</v>
      </c>
      <c r="B31" s="3">
        <f>remit!B31</f>
        <v>2886153</v>
      </c>
      <c r="C31" s="4">
        <f>IFERROR(__xludf.DUMMYFUNCTION("""COMPUTED_VALUE"""),1.0)</f>
        <v>1</v>
      </c>
      <c r="D31" s="4">
        <f>ex!B31</f>
        <v>48.27833333</v>
      </c>
      <c r="E31" s="5">
        <f>inf!B31</f>
        <v>3.966666667</v>
      </c>
      <c r="F31" s="5">
        <f>int!B31</f>
        <v>0.2166666667</v>
      </c>
      <c r="G31" s="5">
        <f>unem!B31</f>
        <v>8.033333333</v>
      </c>
      <c r="H31" s="6">
        <f>ggrowth!B31</f>
        <v>15.2</v>
      </c>
    </row>
    <row r="32">
      <c r="A32" s="2">
        <v>44378.0</v>
      </c>
      <c r="B32" s="3">
        <f>remit!B32</f>
        <v>3456173</v>
      </c>
      <c r="C32" s="4">
        <f>IFERROR(__xludf.DUMMYFUNCTION("""COMPUTED_VALUE"""),5.0)</f>
        <v>5</v>
      </c>
      <c r="D32" s="4">
        <f>ex!B32</f>
        <v>50.447</v>
      </c>
      <c r="E32" s="5">
        <f>inf!B32</f>
        <v>4.1</v>
      </c>
      <c r="F32" s="5">
        <f>int!B32</f>
        <v>0.2993333333</v>
      </c>
      <c r="G32" s="5">
        <f>unem!B32</f>
        <v>8.066666667</v>
      </c>
      <c r="H32" s="6">
        <f>ggrowth!B32</f>
        <v>9.5</v>
      </c>
    </row>
    <row r="33">
      <c r="A33" s="2">
        <v>44470.0</v>
      </c>
      <c r="B33" s="3">
        <f>remit!B33</f>
        <v>3296836</v>
      </c>
      <c r="C33" s="4">
        <f>IFERROR(__xludf.DUMMYFUNCTION("""COMPUTED_VALUE"""),7.0)</f>
        <v>7</v>
      </c>
      <c r="D33" s="4">
        <f>ex!B33</f>
        <v>50.66733333</v>
      </c>
      <c r="E33" s="5">
        <f>inf!B33</f>
        <v>3.6</v>
      </c>
      <c r="F33" s="5">
        <f>int!B33</f>
        <v>0.4413333333</v>
      </c>
      <c r="G33" s="5">
        <f>unem!B33</f>
        <v>6.833333333</v>
      </c>
      <c r="H33" s="6">
        <f>ggrowth!B33</f>
        <v>9.8</v>
      </c>
    </row>
    <row r="34">
      <c r="A34" s="2">
        <v>44562.0</v>
      </c>
      <c r="B34" s="3">
        <f>remit!B34</f>
        <v>3223467</v>
      </c>
      <c r="C34" s="4">
        <f>IFERROR(__xludf.DUMMYFUNCTION("""COMPUTED_VALUE"""),0.0)</f>
        <v>0</v>
      </c>
      <c r="D34" s="4">
        <f>ex!B34</f>
        <v>51.508</v>
      </c>
      <c r="E34" s="5">
        <f>inf!B34</f>
        <v>3.333333333</v>
      </c>
      <c r="F34" s="5">
        <f>int!B34</f>
        <v>0.3866666667</v>
      </c>
      <c r="G34" s="5">
        <f>unem!B34</f>
        <v>6.2</v>
      </c>
      <c r="H34" s="6">
        <f>ggrowth!B34</f>
        <v>12.7</v>
      </c>
    </row>
    <row r="35">
      <c r="A35" s="2">
        <v>44652.0</v>
      </c>
      <c r="B35" s="3">
        <f>remit!B35</f>
        <v>3091002</v>
      </c>
      <c r="C35" s="4">
        <f>IFERROR(__xludf.DUMMYFUNCTION("""COMPUTED_VALUE"""),3.0)</f>
        <v>3</v>
      </c>
      <c r="D35" s="4">
        <f>ex!B35</f>
        <v>53.14066667</v>
      </c>
      <c r="E35" s="5">
        <f>inf!B35</f>
        <v>5.466666667</v>
      </c>
      <c r="F35" s="5">
        <f>int!B35</f>
        <v>0.405</v>
      </c>
      <c r="G35" s="5">
        <f>unem!B35</f>
        <v>5.9</v>
      </c>
      <c r="H35" s="6">
        <f>ggrowth!B35</f>
        <v>13.2</v>
      </c>
    </row>
    <row r="36">
      <c r="A36" s="2">
        <v>44743.0</v>
      </c>
      <c r="B36" s="3">
        <f>remit!B36</f>
        <v>3623743</v>
      </c>
      <c r="C36" s="4">
        <f>IFERROR(__xludf.DUMMYFUNCTION("""COMPUTED_VALUE"""),8.0)</f>
        <v>8</v>
      </c>
      <c r="D36" s="4">
        <f>ex!B36</f>
        <v>56.95833333</v>
      </c>
      <c r="E36" s="5">
        <f>inf!B36</f>
        <v>6.533333333</v>
      </c>
      <c r="F36" s="5">
        <f>int!B36</f>
        <v>0.6133333333</v>
      </c>
      <c r="G36" s="5">
        <f>unem!B36</f>
        <v>5.166666667</v>
      </c>
      <c r="H36" s="6">
        <f>ggrowth!B36</f>
        <v>14</v>
      </c>
    </row>
    <row r="37">
      <c r="A37" s="2">
        <v>44835.0</v>
      </c>
      <c r="B37" s="3">
        <f>remit!B37</f>
        <v>3458355</v>
      </c>
      <c r="C37" s="4">
        <f>IFERROR(__xludf.DUMMYFUNCTION("""COMPUTED_VALUE"""),2.0)</f>
        <v>2</v>
      </c>
      <c r="D37" s="4">
        <f>ex!B37</f>
        <v>57.068</v>
      </c>
      <c r="E37" s="5">
        <f>inf!B37</f>
        <v>7.933333333</v>
      </c>
      <c r="F37" s="5">
        <f>int!B37</f>
        <v>1.047333333</v>
      </c>
      <c r="G37" s="5">
        <f>unem!B37</f>
        <v>4.333333333</v>
      </c>
      <c r="H37" s="6">
        <f>ggrowth!B37</f>
        <v>13.9</v>
      </c>
    </row>
    <row r="38">
      <c r="A38" s="2">
        <v>44927.0</v>
      </c>
      <c r="B38" s="3">
        <f>remit!B38</f>
        <v>3312492</v>
      </c>
      <c r="C38" s="4">
        <f>IFERROR(__xludf.DUMMYFUNCTION("""COMPUTED_VALUE"""),2.0)</f>
        <v>2</v>
      </c>
      <c r="D38" s="4">
        <f>ex!B38</f>
        <v>54.762</v>
      </c>
      <c r="E38" s="5">
        <f>inf!B38</f>
        <v>8.3</v>
      </c>
      <c r="F38" s="5">
        <f>int!B38</f>
        <v>1.290333333</v>
      </c>
      <c r="G38" s="5">
        <f>unem!B38</f>
        <v>4.766666667</v>
      </c>
      <c r="H38" s="6">
        <f>ggrowth!B38</f>
        <v>13.9</v>
      </c>
    </row>
    <row r="39">
      <c r="A39" s="2">
        <v>45017.0</v>
      </c>
      <c r="B39" s="3">
        <f>remit!B39</f>
        <v>3175830</v>
      </c>
      <c r="C39" s="4">
        <f>IFERROR(__xludf.DUMMYFUNCTION("""COMPUTED_VALUE"""),0.0)</f>
        <v>0</v>
      </c>
      <c r="D39" s="4">
        <f>ex!B39</f>
        <v>55.788</v>
      </c>
      <c r="E39" s="5">
        <f>inf!B39</f>
        <v>6.033333333</v>
      </c>
      <c r="F39" s="5">
        <f>int!B39</f>
        <v>1.547333333</v>
      </c>
      <c r="G39" s="5">
        <f>unem!B39</f>
        <v>4.433333333</v>
      </c>
      <c r="H39" s="6">
        <f>ggrowth!B39</f>
        <v>9.1</v>
      </c>
    </row>
    <row r="40">
      <c r="A40" s="2">
        <v>45108.0</v>
      </c>
      <c r="B40" s="3">
        <f>remit!B40</f>
        <v>3686060</v>
      </c>
      <c r="C40" s="4">
        <f>IFERROR(__xludf.DUMMYFUNCTION("""COMPUTED_VALUE"""),8.0)</f>
        <v>8</v>
      </c>
      <c r="D40" s="4">
        <f>ex!B40</f>
        <v>56.17</v>
      </c>
      <c r="E40" s="5">
        <f>inf!B40</f>
        <v>5.366666667</v>
      </c>
      <c r="F40" s="5">
        <f>int!B40</f>
        <v>1.747</v>
      </c>
      <c r="G40" s="5">
        <f>unem!B40</f>
        <v>4.6</v>
      </c>
      <c r="H40" s="6">
        <f>ggrowth!B40</f>
        <v>9.7</v>
      </c>
    </row>
    <row r="41">
      <c r="A41" s="2">
        <v>45200.0</v>
      </c>
      <c r="B41" s="3">
        <f>remit!B41</f>
        <v>3535598</v>
      </c>
      <c r="C41" s="4">
        <f>IFERROR(__xludf.DUMMYFUNCTION("""COMPUTED_VALUE"""),5.0)</f>
        <v>5</v>
      </c>
      <c r="D41" s="4">
        <f>ex!B41</f>
        <v>55.93266667</v>
      </c>
      <c r="E41" s="5">
        <f>inf!B41</f>
        <v>4.3</v>
      </c>
      <c r="F41" s="5">
        <f>int!B41</f>
        <v>1.750333333</v>
      </c>
      <c r="G41" s="5">
        <f>unem!B41</f>
        <v>3.633333333</v>
      </c>
      <c r="H41" s="6">
        <f>ggrowth!B41</f>
        <v>9.3</v>
      </c>
    </row>
    <row r="42">
      <c r="A42" s="2">
        <v>45292.0</v>
      </c>
      <c r="B42" s="3">
        <f>remit!B42</f>
        <v>3390327</v>
      </c>
      <c r="C42" s="4">
        <f>IFERROR(__xludf.DUMMYFUNCTION("""COMPUTED_VALUE"""),2.0)</f>
        <v>2</v>
      </c>
      <c r="D42" s="4">
        <f>ex!B42</f>
        <v>56.26766667</v>
      </c>
      <c r="E42" s="5">
        <f>inf!B42</f>
        <v>3.3</v>
      </c>
      <c r="F42" s="5">
        <f>int!B42</f>
        <v>1.684333333</v>
      </c>
      <c r="G42" s="5">
        <f>unem!B42</f>
        <v>3.966666667</v>
      </c>
      <c r="H42" s="6">
        <f>ggrowth!B42</f>
        <v>9</v>
      </c>
    </row>
    <row r="43">
      <c r="A43" s="2">
        <v>45383.0</v>
      </c>
      <c r="B43" s="3">
        <f>remit!B43</f>
        <v>3253627</v>
      </c>
      <c r="C43" s="4">
        <f>IFERROR(__xludf.DUMMYFUNCTION("""COMPUTED_VALUE"""),6.0)</f>
        <v>6</v>
      </c>
      <c r="D43" s="4">
        <f>ex!B43</f>
        <v>58.395</v>
      </c>
      <c r="E43" s="5">
        <f>inf!B43</f>
        <v>3.8</v>
      </c>
      <c r="F43" s="5">
        <f>int!B43</f>
        <v>1.806333333</v>
      </c>
      <c r="G43" s="5">
        <f>unem!B43</f>
        <v>3.733333333</v>
      </c>
      <c r="H43" s="6">
        <f>ggrowth!B43</f>
        <v>10.3</v>
      </c>
    </row>
    <row r="44">
      <c r="A44" s="2">
        <v>45474.0</v>
      </c>
      <c r="B44" s="3">
        <f>remit!B44</f>
        <v>3767782</v>
      </c>
      <c r="C44" s="4">
        <f>IFERROR(__xludf.DUMMYFUNCTION("""COMPUTED_VALUE"""),18.0)</f>
        <v>18</v>
      </c>
      <c r="D44" s="4">
        <f>ex!B44</f>
        <v>56.942</v>
      </c>
      <c r="E44" s="5">
        <f>inf!B44</f>
        <v>3.2</v>
      </c>
      <c r="F44" s="5">
        <f>int!B44</f>
        <v>1.966333333</v>
      </c>
      <c r="G44" s="5">
        <f>unem!B44</f>
        <v>4.133333333</v>
      </c>
      <c r="H44" s="6">
        <f>ggrowth!B44</f>
        <v>8.6</v>
      </c>
    </row>
    <row r="45">
      <c r="A45" s="2">
        <v>45566.0</v>
      </c>
      <c r="B45" s="3">
        <f>remit!B45</f>
        <v>3602163</v>
      </c>
      <c r="C45" s="4">
        <f>IFERROR(__xludf.DUMMYFUNCTION("""COMPUTED_VALUE"""),7.0)</f>
        <v>7</v>
      </c>
      <c r="D45" s="4">
        <f>ex!B45</f>
        <v>58.32066667</v>
      </c>
      <c r="E45" s="5">
        <f>inf!B45</f>
        <v>2.566666667</v>
      </c>
      <c r="F45" s="5">
        <f>int!B45</f>
        <v>1.882333333</v>
      </c>
      <c r="G45" s="5">
        <f>unem!B45</f>
        <v>3.4</v>
      </c>
      <c r="H45" s="6">
        <f>ggrowth!B45</f>
        <v>7.5</v>
      </c>
    </row>
    <row r="46">
      <c r="A4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8</v>
      </c>
      <c r="C1" s="8"/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>
      <c r="A2" s="2">
        <v>41640.0</v>
      </c>
      <c r="B2" s="9">
        <f>IFERROR(__xludf.DUMMYFUNCTION("FILTER(FLATTEN({D3:O3; D5:O5; D7:O7; D9:O9; D11:O11; D13:O13; D15:O15; D17:O17; D19:O19; D21:O21; D23:O23}), FLATTEN({D3:O3; D5:O5; D7:O7; D9:O9; D11:O11; D13:O13; D15:O15; D17:O17; D19:O19; D21:O21; D23:O23}) &lt;&gt; """")"),1608714.0)</f>
        <v>1608714</v>
      </c>
      <c r="C2" s="10">
        <v>2014.0</v>
      </c>
      <c r="D2" s="11">
        <v>500172.0</v>
      </c>
      <c r="E2" s="11">
        <v>505976.0</v>
      </c>
      <c r="F2" s="11">
        <v>602566.0</v>
      </c>
      <c r="G2" s="11">
        <v>572285.0</v>
      </c>
      <c r="H2" s="11">
        <v>563105.0</v>
      </c>
      <c r="I2" s="11">
        <v>602647.0</v>
      </c>
      <c r="J2" s="11">
        <v>648777.0</v>
      </c>
      <c r="K2" s="11">
        <v>607106.0</v>
      </c>
      <c r="L2" s="11">
        <v>709426.0</v>
      </c>
      <c r="M2" s="11">
        <v>712600.0</v>
      </c>
      <c r="N2" s="11">
        <v>658685.0</v>
      </c>
      <c r="O2" s="11">
        <v>720188.0</v>
      </c>
    </row>
    <row r="3">
      <c r="A3" s="2">
        <v>41730.0</v>
      </c>
      <c r="B3" s="9">
        <f>IFERROR(__xludf.DUMMYFUNCTION("""COMPUTED_VALUE"""),1738037.0)</f>
        <v>1738037</v>
      </c>
      <c r="C3" s="8"/>
      <c r="D3" s="12">
        <f>SUM(D2:F2)</f>
        <v>1608714</v>
      </c>
      <c r="E3" s="13"/>
      <c r="F3" s="13"/>
      <c r="G3" s="12">
        <f>SUM(G2:I2)</f>
        <v>1738037</v>
      </c>
      <c r="H3" s="13"/>
      <c r="I3" s="13"/>
      <c r="J3" s="12">
        <f>SUM(J2:L2)</f>
        <v>1965309</v>
      </c>
      <c r="K3" s="13"/>
      <c r="L3" s="13"/>
      <c r="M3" s="12">
        <f>SUM(M2:O2)</f>
        <v>2091473</v>
      </c>
      <c r="N3" s="13"/>
      <c r="O3" s="13"/>
    </row>
    <row r="4">
      <c r="A4" s="2">
        <v>41821.0</v>
      </c>
      <c r="B4" s="9">
        <f>IFERROR(__xludf.DUMMYFUNCTION("""COMPUTED_VALUE"""),1965309.0)</f>
        <v>1965309</v>
      </c>
      <c r="C4" s="10">
        <v>2015.0</v>
      </c>
      <c r="D4" s="11">
        <v>694818.0</v>
      </c>
      <c r="E4" s="11">
        <v>703613.0</v>
      </c>
      <c r="F4" s="11">
        <v>804393.0</v>
      </c>
      <c r="G4" s="11">
        <v>671981.0</v>
      </c>
      <c r="H4" s="11">
        <v>645066.0</v>
      </c>
      <c r="I4" s="11">
        <v>739607.0</v>
      </c>
      <c r="J4" s="11">
        <v>765249.0</v>
      </c>
      <c r="K4" s="11">
        <v>677694.0</v>
      </c>
      <c r="L4" s="11">
        <v>696768.0</v>
      </c>
      <c r="M4" s="11">
        <v>677318.0</v>
      </c>
      <c r="N4" s="11">
        <v>582272.0</v>
      </c>
      <c r="O4" s="11">
        <v>749811.0</v>
      </c>
    </row>
    <row r="5">
      <c r="A5" s="2">
        <v>41913.0</v>
      </c>
      <c r="B5" s="9">
        <f>IFERROR(__xludf.DUMMYFUNCTION("""COMPUTED_VALUE"""),2091473.0)</f>
        <v>2091473</v>
      </c>
      <c r="C5" s="10"/>
      <c r="D5" s="12">
        <f>SUM(D4:F4)</f>
        <v>2202824</v>
      </c>
      <c r="E5" s="13"/>
      <c r="F5" s="13"/>
      <c r="G5" s="12">
        <f>SUM(G4:I4)</f>
        <v>2056654</v>
      </c>
      <c r="H5" s="13"/>
      <c r="I5" s="13"/>
      <c r="J5" s="12">
        <f>SUM(J4:L4)</f>
        <v>2139711</v>
      </c>
      <c r="K5" s="13"/>
      <c r="L5" s="13"/>
      <c r="M5" s="12">
        <f>SUM(M4:O4)</f>
        <v>2009401</v>
      </c>
      <c r="N5" s="13"/>
      <c r="O5" s="13"/>
    </row>
    <row r="6">
      <c r="A6" s="2">
        <v>42005.0</v>
      </c>
      <c r="B6" s="9">
        <f>IFERROR(__xludf.DUMMYFUNCTION("""COMPUTED_VALUE"""),2202824.0)</f>
        <v>2202824</v>
      </c>
      <c r="C6" s="10">
        <v>2016.0</v>
      </c>
      <c r="D6" s="11">
        <v>639309.0</v>
      </c>
      <c r="E6" s="11">
        <v>638899.0</v>
      </c>
      <c r="F6" s="11">
        <v>765969.0</v>
      </c>
      <c r="G6" s="11">
        <v>725334.0</v>
      </c>
      <c r="H6" s="11">
        <v>732436.0</v>
      </c>
      <c r="I6" s="11">
        <v>777634.0</v>
      </c>
      <c r="J6" s="11">
        <v>720380.0</v>
      </c>
      <c r="K6" s="11">
        <v>789155.0</v>
      </c>
      <c r="L6" s="11">
        <v>807316.0</v>
      </c>
      <c r="M6" s="11">
        <v>727360.0</v>
      </c>
      <c r="N6" s="11">
        <v>743409.0</v>
      </c>
      <c r="O6" s="11">
        <v>864068.0</v>
      </c>
    </row>
    <row r="7">
      <c r="A7" s="2">
        <v>42095.0</v>
      </c>
      <c r="B7" s="9">
        <f>IFERROR(__xludf.DUMMYFUNCTION("""COMPUTED_VALUE"""),2056654.0)</f>
        <v>2056654</v>
      </c>
      <c r="C7" s="8"/>
      <c r="D7" s="12">
        <f>SUM(D6:F6)</f>
        <v>2044177</v>
      </c>
      <c r="E7" s="13"/>
      <c r="F7" s="13"/>
      <c r="G7" s="12">
        <f>SUM(G6:I6)</f>
        <v>2235404</v>
      </c>
      <c r="H7" s="13"/>
      <c r="I7" s="13"/>
      <c r="J7" s="12">
        <f>SUM(J6:L6)</f>
        <v>2316851</v>
      </c>
      <c r="K7" s="13"/>
      <c r="L7" s="13"/>
      <c r="M7" s="12">
        <f>SUM(M6:O6)</f>
        <v>2334837</v>
      </c>
      <c r="N7" s="13"/>
      <c r="O7" s="13"/>
    </row>
    <row r="8">
      <c r="A8" s="2">
        <v>42186.0</v>
      </c>
      <c r="B8" s="9">
        <f>IFERROR(__xludf.DUMMYFUNCTION("""COMPUTED_VALUE"""),2139711.0)</f>
        <v>2139711</v>
      </c>
      <c r="C8" s="10">
        <v>2017.0</v>
      </c>
      <c r="D8" s="11">
        <v>698280.0</v>
      </c>
      <c r="E8" s="11">
        <v>720879.0</v>
      </c>
      <c r="F8" s="11">
        <v>858063.0</v>
      </c>
      <c r="G8" s="11">
        <v>717286.0</v>
      </c>
      <c r="H8" s="11">
        <v>749890.0</v>
      </c>
      <c r="I8" s="11">
        <v>822694.0</v>
      </c>
      <c r="J8" s="11">
        <v>790342.0</v>
      </c>
      <c r="K8" s="11">
        <v>809123.0</v>
      </c>
      <c r="L8" s="11">
        <v>796435.0</v>
      </c>
      <c r="M8" s="11">
        <v>777030.0</v>
      </c>
      <c r="N8" s="11">
        <v>768570.0</v>
      </c>
      <c r="O8" s="11">
        <v>913718.0</v>
      </c>
    </row>
    <row r="9">
      <c r="A9" s="2">
        <v>42278.0</v>
      </c>
      <c r="B9" s="9">
        <f>IFERROR(__xludf.DUMMYFUNCTION("""COMPUTED_VALUE"""),2009401.0)</f>
        <v>2009401</v>
      </c>
      <c r="C9" s="8"/>
      <c r="D9" s="12">
        <f>SUM(D8:F8)</f>
        <v>2277222</v>
      </c>
      <c r="E9" s="13"/>
      <c r="F9" s="13"/>
      <c r="G9" s="12">
        <f>SUM(G8:I8)</f>
        <v>2289870</v>
      </c>
      <c r="H9" s="13"/>
      <c r="I9" s="13"/>
      <c r="J9" s="12">
        <f>SUM(J8:L8)</f>
        <v>2395900</v>
      </c>
      <c r="K9" s="13"/>
      <c r="L9" s="13"/>
      <c r="M9" s="12">
        <f>SUM(M8:O8)</f>
        <v>2459318</v>
      </c>
      <c r="N9" s="13"/>
      <c r="O9" s="13"/>
    </row>
    <row r="10">
      <c r="A10" s="2">
        <v>42370.0</v>
      </c>
      <c r="B10" s="9">
        <f>IFERROR(__xludf.DUMMYFUNCTION("""COMPUTED_VALUE"""),2044177.0)</f>
        <v>2044177</v>
      </c>
      <c r="C10" s="10">
        <v>2018.0</v>
      </c>
      <c r="D10" s="11">
        <v>797792.0</v>
      </c>
      <c r="E10" s="11">
        <v>747049.0</v>
      </c>
      <c r="F10" s="11">
        <v>817911.0</v>
      </c>
      <c r="G10" s="11">
        <v>803963.0</v>
      </c>
      <c r="H10" s="11">
        <v>808942.0</v>
      </c>
      <c r="I10" s="11">
        <v>864885.0</v>
      </c>
      <c r="J10" s="11">
        <v>836661.0</v>
      </c>
      <c r="K10" s="11">
        <v>878799.0</v>
      </c>
      <c r="L10" s="11">
        <v>814125.0</v>
      </c>
      <c r="M10" s="11">
        <v>835868.0</v>
      </c>
      <c r="N10" s="11">
        <v>791703.0</v>
      </c>
      <c r="O10" s="11">
        <v>988695.0</v>
      </c>
    </row>
    <row r="11">
      <c r="A11" s="2">
        <v>42461.0</v>
      </c>
      <c r="B11" s="9">
        <f>IFERROR(__xludf.DUMMYFUNCTION("""COMPUTED_VALUE"""),2235404.0)</f>
        <v>2235404</v>
      </c>
      <c r="C11" s="8"/>
      <c r="D11" s="12">
        <f>SUM(D10:F10)</f>
        <v>2362752</v>
      </c>
      <c r="E11" s="13"/>
      <c r="F11" s="13"/>
      <c r="G11" s="12">
        <f>SUM(G10:I10)</f>
        <v>2477790</v>
      </c>
      <c r="H11" s="13"/>
      <c r="I11" s="13"/>
      <c r="J11" s="12">
        <f>SUM(J10:L10)</f>
        <v>2529585</v>
      </c>
      <c r="K11" s="13"/>
      <c r="L11" s="13"/>
      <c r="M11" s="12">
        <f>SUM(M10:O10)</f>
        <v>2616266</v>
      </c>
      <c r="N11" s="13"/>
      <c r="O11" s="13"/>
    </row>
    <row r="12">
      <c r="A12" s="2">
        <v>42552.0</v>
      </c>
      <c r="B12" s="9">
        <f>IFERROR(__xludf.DUMMYFUNCTION("""COMPUTED_VALUE"""),2316851.0)</f>
        <v>2316851</v>
      </c>
      <c r="C12" s="10">
        <v>2019.0</v>
      </c>
      <c r="D12" s="11">
        <v>882425.0</v>
      </c>
      <c r="E12" s="11">
        <v>814831.0</v>
      </c>
      <c r="F12" s="11">
        <v>865668.0</v>
      </c>
      <c r="G12" s="11">
        <v>933144.0</v>
      </c>
      <c r="H12" s="11">
        <v>944103.0</v>
      </c>
      <c r="I12" s="11">
        <v>882485.0</v>
      </c>
      <c r="J12" s="11">
        <v>1014950.0</v>
      </c>
      <c r="K12" s="11">
        <v>988723.0</v>
      </c>
      <c r="L12" s="11">
        <v>982905.0</v>
      </c>
      <c r="M12" s="11">
        <v>1037423.0</v>
      </c>
      <c r="N12" s="11">
        <v>926558.0</v>
      </c>
      <c r="O12" s="11">
        <v>1045118.0</v>
      </c>
    </row>
    <row r="13">
      <c r="A13" s="2">
        <v>42644.0</v>
      </c>
      <c r="B13" s="9">
        <f>IFERROR(__xludf.DUMMYFUNCTION("""COMPUTED_VALUE"""),2334837.0)</f>
        <v>2334837</v>
      </c>
      <c r="C13" s="14"/>
      <c r="D13" s="12">
        <f>SUM(D12:F12)</f>
        <v>2562924</v>
      </c>
      <c r="E13" s="13"/>
      <c r="F13" s="13"/>
      <c r="G13" s="12">
        <f>SUM(G12:I12)</f>
        <v>2759732</v>
      </c>
      <c r="H13" s="13"/>
      <c r="I13" s="13"/>
      <c r="J13" s="12">
        <f>SUM(J12:L12)</f>
        <v>2986578</v>
      </c>
      <c r="K13" s="13"/>
      <c r="L13" s="13"/>
      <c r="M13" s="12">
        <f>SUM(M12:O12)</f>
        <v>3009099</v>
      </c>
      <c r="N13" s="13"/>
      <c r="O13" s="13"/>
    </row>
    <row r="14">
      <c r="A14" s="2">
        <v>42736.0</v>
      </c>
      <c r="B14" s="9">
        <f>IFERROR(__xludf.DUMMYFUNCTION("""COMPUTED_VALUE"""),2277222.0)</f>
        <v>2277222</v>
      </c>
      <c r="C14" s="10">
        <v>2020.0</v>
      </c>
      <c r="D14" s="11">
        <v>1021205.0</v>
      </c>
      <c r="E14" s="11">
        <v>931979.0</v>
      </c>
      <c r="F14" s="11">
        <v>932088.0</v>
      </c>
      <c r="G14" s="11">
        <v>857860.0</v>
      </c>
      <c r="H14" s="11">
        <v>805719.0</v>
      </c>
      <c r="I14" s="11">
        <v>1017435.0</v>
      </c>
      <c r="J14" s="11">
        <v>1167280.0</v>
      </c>
      <c r="K14" s="11">
        <v>1017109.0</v>
      </c>
      <c r="L14" s="11">
        <v>1026231.0</v>
      </c>
      <c r="M14" s="11">
        <v>1122014.0</v>
      </c>
      <c r="N14" s="11">
        <v>925344.0</v>
      </c>
      <c r="O14" s="11">
        <v>1112090.0</v>
      </c>
    </row>
    <row r="15">
      <c r="A15" s="2">
        <v>42826.0</v>
      </c>
      <c r="B15" s="9">
        <f>IFERROR(__xludf.DUMMYFUNCTION("""COMPUTED_VALUE"""),2289870.0)</f>
        <v>2289870</v>
      </c>
      <c r="C15" s="14"/>
      <c r="D15" s="12">
        <f>SUM(D14:F14)</f>
        <v>2885272</v>
      </c>
      <c r="E15" s="13"/>
      <c r="F15" s="13"/>
      <c r="G15" s="12">
        <f>SUM(G14:I14)</f>
        <v>2681014</v>
      </c>
      <c r="H15" s="13"/>
      <c r="I15" s="13"/>
      <c r="J15" s="12">
        <f>SUM(J14:L14)</f>
        <v>3210620</v>
      </c>
      <c r="K15" s="13"/>
      <c r="L15" s="13"/>
      <c r="M15" s="12">
        <f>SUM(M14:O14)</f>
        <v>3159448</v>
      </c>
      <c r="N15" s="13"/>
      <c r="O15" s="13"/>
    </row>
    <row r="16">
      <c r="A16" s="2">
        <v>42917.0</v>
      </c>
      <c r="B16" s="9">
        <f>IFERROR(__xludf.DUMMYFUNCTION("""COMPUTED_VALUE"""),2395900.0)</f>
        <v>2395900</v>
      </c>
      <c r="C16" s="10">
        <v>2021.0</v>
      </c>
      <c r="D16" s="11">
        <v>1063246.0</v>
      </c>
      <c r="E16" s="11">
        <v>1017591.0</v>
      </c>
      <c r="F16" s="11">
        <v>1015977.0</v>
      </c>
      <c r="G16" s="11">
        <v>895221.0</v>
      </c>
      <c r="H16" s="11">
        <v>929716.0</v>
      </c>
      <c r="I16" s="11">
        <v>1061216.0</v>
      </c>
      <c r="J16" s="11">
        <v>1200827.0</v>
      </c>
      <c r="K16" s="11">
        <v>1107738.0</v>
      </c>
      <c r="L16" s="11">
        <v>1147608.0</v>
      </c>
      <c r="M16" s="11">
        <v>1169593.0</v>
      </c>
      <c r="N16" s="11">
        <v>967300.0</v>
      </c>
      <c r="O16" s="11">
        <v>1159943.0</v>
      </c>
    </row>
    <row r="17">
      <c r="A17" s="2">
        <v>43009.0</v>
      </c>
      <c r="B17" s="9">
        <f>IFERROR(__xludf.DUMMYFUNCTION("""COMPUTED_VALUE"""),2459318.0)</f>
        <v>2459318</v>
      </c>
      <c r="C17" s="14"/>
      <c r="D17" s="12">
        <f>SUM(D16:F16)</f>
        <v>3096814</v>
      </c>
      <c r="E17" s="13"/>
      <c r="F17" s="13"/>
      <c r="G17" s="12">
        <f>SUM(G16:I16)</f>
        <v>2886153</v>
      </c>
      <c r="H17" s="13"/>
      <c r="I17" s="13"/>
      <c r="J17" s="12">
        <f>SUM(J16:L16)</f>
        <v>3456173</v>
      </c>
      <c r="K17" s="13"/>
      <c r="L17" s="13"/>
      <c r="M17" s="12">
        <f>SUM(M16:O16)</f>
        <v>3296836</v>
      </c>
      <c r="N17" s="13"/>
      <c r="O17" s="13"/>
    </row>
    <row r="18">
      <c r="A18" s="2">
        <v>43101.0</v>
      </c>
      <c r="B18" s="9">
        <f>IFERROR(__xludf.DUMMYFUNCTION("""COMPUTED_VALUE"""),2362752.0)</f>
        <v>2362752</v>
      </c>
      <c r="C18" s="10">
        <v>2022.0</v>
      </c>
      <c r="D18" s="11">
        <v>1098620.0</v>
      </c>
      <c r="E18" s="11">
        <v>1053887.0</v>
      </c>
      <c r="F18" s="11">
        <v>1070960.0</v>
      </c>
      <c r="G18" s="11">
        <v>969716.0</v>
      </c>
      <c r="H18" s="11">
        <v>971841.0</v>
      </c>
      <c r="I18" s="11">
        <v>1149445.0</v>
      </c>
      <c r="J18" s="11">
        <v>1239488.0</v>
      </c>
      <c r="K18" s="11">
        <v>1194455.0</v>
      </c>
      <c r="L18" s="11">
        <v>1189800.0</v>
      </c>
      <c r="M18" s="11">
        <v>1201470.0</v>
      </c>
      <c r="N18" s="11">
        <v>1027771.0</v>
      </c>
      <c r="O18" s="11">
        <v>1229114.0</v>
      </c>
    </row>
    <row r="19">
      <c r="A19" s="2">
        <v>43191.0</v>
      </c>
      <c r="B19" s="9">
        <f>IFERROR(__xludf.DUMMYFUNCTION("""COMPUTED_VALUE"""),2477790.0)</f>
        <v>2477790</v>
      </c>
      <c r="C19" s="14"/>
      <c r="D19" s="12">
        <f>SUM(D18:F18)</f>
        <v>3223467</v>
      </c>
      <c r="E19" s="13"/>
      <c r="F19" s="13"/>
      <c r="G19" s="12">
        <f>SUM(G18:I18)</f>
        <v>3091002</v>
      </c>
      <c r="H19" s="13"/>
      <c r="I19" s="13"/>
      <c r="J19" s="12">
        <f>SUM(J18:L18)</f>
        <v>3623743</v>
      </c>
      <c r="K19" s="13"/>
      <c r="L19" s="13"/>
      <c r="M19" s="12">
        <f>SUM(M18:O18)</f>
        <v>3458355</v>
      </c>
      <c r="N19" s="13"/>
      <c r="O19" s="13"/>
    </row>
    <row r="20">
      <c r="A20" s="2">
        <v>43282.0</v>
      </c>
      <c r="B20" s="9">
        <f>IFERROR(__xludf.DUMMYFUNCTION("""COMPUTED_VALUE"""),2529585.0)</f>
        <v>2529585</v>
      </c>
      <c r="C20" s="10">
        <v>2023.0</v>
      </c>
      <c r="D20" s="11">
        <v>1156066.0</v>
      </c>
      <c r="E20" s="11">
        <v>1062292.0</v>
      </c>
      <c r="F20" s="11">
        <v>1094134.0</v>
      </c>
      <c r="G20" s="11">
        <v>1018502.0</v>
      </c>
      <c r="H20" s="11">
        <v>991335.0</v>
      </c>
      <c r="I20" s="11">
        <v>1165993.0</v>
      </c>
      <c r="J20" s="11">
        <v>1274728.0</v>
      </c>
      <c r="K20" s="11">
        <v>1210606.0</v>
      </c>
      <c r="L20" s="11">
        <v>1200726.0</v>
      </c>
      <c r="M20" s="11">
        <v>1225462.0</v>
      </c>
      <c r="N20" s="11">
        <v>1041193.0</v>
      </c>
      <c r="O20" s="11">
        <v>1268943.0</v>
      </c>
      <c r="P20" s="15"/>
      <c r="Q20" s="15"/>
      <c r="R20" s="15"/>
      <c r="S20" s="15"/>
      <c r="T20" s="15"/>
      <c r="U20" s="15"/>
      <c r="W20" s="15"/>
    </row>
    <row r="21">
      <c r="A21" s="2">
        <v>43374.0</v>
      </c>
      <c r="B21" s="9">
        <f>IFERROR(__xludf.DUMMYFUNCTION("""COMPUTED_VALUE"""),2616266.0)</f>
        <v>2616266</v>
      </c>
      <c r="C21" s="14"/>
      <c r="D21" s="12">
        <f>SUM(D20:F20)</f>
        <v>3312492</v>
      </c>
      <c r="E21" s="13"/>
      <c r="F21" s="13"/>
      <c r="G21" s="12">
        <f>SUM(G20:I20)</f>
        <v>3175830</v>
      </c>
      <c r="H21" s="13"/>
      <c r="I21" s="13"/>
      <c r="J21" s="12">
        <f>SUM(J20:L20)</f>
        <v>3686060</v>
      </c>
      <c r="K21" s="13"/>
      <c r="L21" s="13"/>
      <c r="M21" s="12">
        <f>SUM(M20:O20)</f>
        <v>3535598</v>
      </c>
      <c r="N21" s="13"/>
      <c r="O21" s="13"/>
    </row>
    <row r="22">
      <c r="A22" s="2">
        <v>43466.0</v>
      </c>
      <c r="B22" s="9">
        <f>IFERROR(__xludf.DUMMYFUNCTION("""COMPUTED_VALUE"""),2562924.0)</f>
        <v>2562924</v>
      </c>
      <c r="C22" s="10">
        <v>2024.0</v>
      </c>
      <c r="D22" s="11">
        <v>1184143.0</v>
      </c>
      <c r="E22" s="11">
        <v>1087149.0</v>
      </c>
      <c r="F22" s="11">
        <v>1119035.0</v>
      </c>
      <c r="G22" s="11">
        <v>1044459.0</v>
      </c>
      <c r="H22" s="11">
        <v>1033074.0</v>
      </c>
      <c r="I22" s="11">
        <v>1176094.0</v>
      </c>
      <c r="J22" s="11">
        <v>1308908.0</v>
      </c>
      <c r="K22" s="11">
        <v>1212802.0</v>
      </c>
      <c r="L22" s="11">
        <v>1246072.0</v>
      </c>
      <c r="M22" s="11">
        <v>1251667.0</v>
      </c>
      <c r="N22" s="11">
        <v>1051873.0</v>
      </c>
      <c r="O22" s="11">
        <v>1298623.0</v>
      </c>
    </row>
    <row r="23">
      <c r="A23" s="2">
        <v>43556.0</v>
      </c>
      <c r="B23" s="9">
        <f>IFERROR(__xludf.DUMMYFUNCTION("""COMPUTED_VALUE"""),2759732.0)</f>
        <v>2759732</v>
      </c>
      <c r="C23" s="14"/>
      <c r="D23" s="12">
        <f>SUM(D22:F22)</f>
        <v>3390327</v>
      </c>
      <c r="E23" s="13"/>
      <c r="F23" s="13"/>
      <c r="G23" s="12">
        <f>SUM(G22:I22)</f>
        <v>3253627</v>
      </c>
      <c r="H23" s="13"/>
      <c r="I23" s="13"/>
      <c r="J23" s="12">
        <f>SUM(J22:L22)</f>
        <v>3767782</v>
      </c>
      <c r="K23" s="13"/>
      <c r="L23" s="13"/>
      <c r="M23" s="12">
        <f>SUM(M22:O22)</f>
        <v>3602163</v>
      </c>
      <c r="N23" s="13"/>
      <c r="O23" s="13"/>
    </row>
    <row r="24">
      <c r="A24" s="2">
        <v>43647.0</v>
      </c>
      <c r="B24" s="9">
        <f>IFERROR(__xludf.DUMMYFUNCTION("""COMPUTED_VALUE"""),2986578.0)</f>
        <v>2986578</v>
      </c>
      <c r="C24" s="14"/>
    </row>
    <row r="25">
      <c r="A25" s="2">
        <v>43739.0</v>
      </c>
      <c r="B25" s="9">
        <f>IFERROR(__xludf.DUMMYFUNCTION("""COMPUTED_VALUE"""),3009099.0)</f>
        <v>3009099</v>
      </c>
      <c r="C25" s="14"/>
    </row>
    <row r="26">
      <c r="A26" s="2">
        <v>43831.0</v>
      </c>
      <c r="B26" s="9">
        <f>IFERROR(__xludf.DUMMYFUNCTION("""COMPUTED_VALUE"""),2885272.0)</f>
        <v>2885272</v>
      </c>
      <c r="C26" s="8"/>
    </row>
    <row r="27">
      <c r="A27" s="2">
        <v>43922.0</v>
      </c>
      <c r="B27" s="9">
        <f>IFERROR(__xludf.DUMMYFUNCTION("""COMPUTED_VALUE"""),2681014.0)</f>
        <v>2681014</v>
      </c>
      <c r="C27" s="8"/>
    </row>
    <row r="28">
      <c r="A28" s="2">
        <v>44013.0</v>
      </c>
      <c r="B28" s="9">
        <f>IFERROR(__xludf.DUMMYFUNCTION("""COMPUTED_VALUE"""),3210620.0)</f>
        <v>3210620</v>
      </c>
      <c r="C28" s="8"/>
    </row>
    <row r="29">
      <c r="A29" s="2">
        <v>44105.0</v>
      </c>
      <c r="B29" s="9">
        <f>IFERROR(__xludf.DUMMYFUNCTION("""COMPUTED_VALUE"""),3159448.0)</f>
        <v>3159448</v>
      </c>
      <c r="C29" s="8"/>
    </row>
    <row r="30">
      <c r="A30" s="2">
        <v>44197.0</v>
      </c>
      <c r="B30" s="9">
        <f>IFERROR(__xludf.DUMMYFUNCTION("""COMPUTED_VALUE"""),3096814.0)</f>
        <v>3096814</v>
      </c>
      <c r="C30" s="8"/>
    </row>
    <row r="31">
      <c r="A31" s="2">
        <v>44287.0</v>
      </c>
      <c r="B31" s="9">
        <f>IFERROR(__xludf.DUMMYFUNCTION("""COMPUTED_VALUE"""),2886153.0)</f>
        <v>2886153</v>
      </c>
      <c r="C31" s="8"/>
    </row>
    <row r="32">
      <c r="A32" s="2">
        <v>44378.0</v>
      </c>
      <c r="B32" s="9">
        <f>IFERROR(__xludf.DUMMYFUNCTION("""COMPUTED_VALUE"""),3456173.0)</f>
        <v>3456173</v>
      </c>
      <c r="C32" s="8"/>
    </row>
    <row r="33">
      <c r="A33" s="2">
        <v>44470.0</v>
      </c>
      <c r="B33" s="9">
        <f>IFERROR(__xludf.DUMMYFUNCTION("""COMPUTED_VALUE"""),3296836.0)</f>
        <v>3296836</v>
      </c>
      <c r="C33" s="8"/>
    </row>
    <row r="34">
      <c r="A34" s="2">
        <v>44562.0</v>
      </c>
      <c r="B34" s="9">
        <f>IFERROR(__xludf.DUMMYFUNCTION("""COMPUTED_VALUE"""),3223467.0)</f>
        <v>3223467</v>
      </c>
      <c r="C34" s="8"/>
    </row>
    <row r="35">
      <c r="A35" s="2">
        <v>44652.0</v>
      </c>
      <c r="B35" s="9">
        <f>IFERROR(__xludf.DUMMYFUNCTION("""COMPUTED_VALUE"""),3091002.0)</f>
        <v>3091002</v>
      </c>
      <c r="C35" s="8"/>
    </row>
    <row r="36">
      <c r="A36" s="2">
        <v>44743.0</v>
      </c>
      <c r="B36" s="9">
        <f>IFERROR(__xludf.DUMMYFUNCTION("""COMPUTED_VALUE"""),3623743.0)</f>
        <v>3623743</v>
      </c>
      <c r="C36" s="8"/>
    </row>
    <row r="37">
      <c r="A37" s="2">
        <v>44835.0</v>
      </c>
      <c r="B37" s="9">
        <f>IFERROR(__xludf.DUMMYFUNCTION("""COMPUTED_VALUE"""),3458355.0)</f>
        <v>3458355</v>
      </c>
      <c r="C37" s="8"/>
    </row>
    <row r="38">
      <c r="A38" s="2">
        <v>44927.0</v>
      </c>
      <c r="B38" s="9">
        <f>IFERROR(__xludf.DUMMYFUNCTION("""COMPUTED_VALUE"""),3312492.0)</f>
        <v>3312492</v>
      </c>
      <c r="C38" s="8"/>
    </row>
    <row r="39">
      <c r="A39" s="2">
        <v>45017.0</v>
      </c>
      <c r="B39" s="9">
        <f>IFERROR(__xludf.DUMMYFUNCTION("""COMPUTED_VALUE"""),3175830.0)</f>
        <v>3175830</v>
      </c>
      <c r="C39" s="8"/>
    </row>
    <row r="40">
      <c r="A40" s="2">
        <v>45108.0</v>
      </c>
      <c r="B40" s="9">
        <f>IFERROR(__xludf.DUMMYFUNCTION("""COMPUTED_VALUE"""),3686060.0)</f>
        <v>3686060</v>
      </c>
      <c r="C40" s="8"/>
    </row>
    <row r="41">
      <c r="A41" s="2">
        <v>45200.0</v>
      </c>
      <c r="B41" s="9">
        <f>IFERROR(__xludf.DUMMYFUNCTION("""COMPUTED_VALUE"""),3535598.0)</f>
        <v>3535598</v>
      </c>
      <c r="C41" s="8"/>
    </row>
    <row r="42">
      <c r="A42" s="2">
        <v>45292.0</v>
      </c>
      <c r="B42" s="9">
        <f>IFERROR(__xludf.DUMMYFUNCTION("""COMPUTED_VALUE"""),3390327.0)</f>
        <v>3390327</v>
      </c>
      <c r="C42" s="8"/>
    </row>
    <row r="43">
      <c r="A43" s="2">
        <v>45383.0</v>
      </c>
      <c r="B43" s="9">
        <f>IFERROR(__xludf.DUMMYFUNCTION("""COMPUTED_VALUE"""),3253627.0)</f>
        <v>3253627</v>
      </c>
      <c r="C43" s="8"/>
    </row>
    <row r="44">
      <c r="A44" s="2">
        <v>45474.0</v>
      </c>
      <c r="B44" s="9">
        <f>IFERROR(__xludf.DUMMYFUNCTION("""COMPUTED_VALUE"""),3767782.0)</f>
        <v>3767782</v>
      </c>
      <c r="C44" s="8"/>
    </row>
    <row r="45">
      <c r="A45" s="2">
        <v>45566.0</v>
      </c>
      <c r="B45" s="9">
        <f>IFERROR(__xludf.DUMMYFUNCTION("""COMPUTED_VALUE"""),3602163.0)</f>
        <v>3602163</v>
      </c>
      <c r="C45" s="8"/>
    </row>
    <row r="46">
      <c r="A46" s="2"/>
      <c r="B46" s="16"/>
      <c r="C46" s="8"/>
    </row>
    <row r="47">
      <c r="B47" s="16"/>
      <c r="C47" s="8"/>
    </row>
    <row r="48">
      <c r="B48" s="16"/>
      <c r="C48" s="8"/>
    </row>
    <row r="49">
      <c r="B49" s="16"/>
      <c r="C49" s="8"/>
    </row>
    <row r="50">
      <c r="B50" s="16"/>
      <c r="C50" s="8"/>
    </row>
    <row r="51">
      <c r="B51" s="16"/>
      <c r="C51" s="8"/>
    </row>
    <row r="52">
      <c r="B52" s="16"/>
      <c r="C52" s="8"/>
    </row>
    <row r="53">
      <c r="B53" s="16"/>
      <c r="C53" s="8"/>
    </row>
    <row r="54">
      <c r="B54" s="16"/>
      <c r="C54" s="8"/>
    </row>
    <row r="55">
      <c r="B55" s="16"/>
      <c r="C55" s="8"/>
    </row>
    <row r="56">
      <c r="B56" s="16"/>
      <c r="C56" s="8"/>
    </row>
    <row r="57">
      <c r="B57" s="16"/>
      <c r="C57" s="8"/>
    </row>
    <row r="58">
      <c r="B58" s="16"/>
      <c r="C58" s="8"/>
    </row>
    <row r="59">
      <c r="B59" s="16"/>
      <c r="C59" s="8"/>
    </row>
    <row r="60">
      <c r="B60" s="16"/>
      <c r="C60" s="8"/>
    </row>
    <row r="61">
      <c r="B61" s="16"/>
      <c r="C61" s="8"/>
    </row>
    <row r="62">
      <c r="B62" s="16"/>
      <c r="C62" s="8"/>
    </row>
    <row r="63">
      <c r="B63" s="16"/>
      <c r="C63" s="8"/>
    </row>
    <row r="64">
      <c r="B64" s="16"/>
      <c r="C64" s="8"/>
    </row>
    <row r="65">
      <c r="B65" s="16"/>
      <c r="C65" s="8"/>
    </row>
    <row r="66">
      <c r="B66" s="16"/>
      <c r="C66" s="8"/>
    </row>
    <row r="67">
      <c r="B67" s="16"/>
      <c r="C67" s="8"/>
    </row>
    <row r="68">
      <c r="B68" s="16"/>
      <c r="C68" s="8"/>
    </row>
    <row r="69">
      <c r="B69" s="16"/>
      <c r="C69" s="8"/>
    </row>
    <row r="70">
      <c r="B70" s="16"/>
      <c r="C70" s="8"/>
    </row>
    <row r="71">
      <c r="B71" s="16"/>
      <c r="C71" s="8"/>
    </row>
    <row r="72">
      <c r="B72" s="16"/>
      <c r="C72" s="8"/>
    </row>
    <row r="73">
      <c r="B73" s="16"/>
      <c r="C73" s="8"/>
    </row>
    <row r="74">
      <c r="B74" s="16"/>
      <c r="C74" s="8"/>
    </row>
    <row r="75">
      <c r="B75" s="16"/>
      <c r="C75" s="8"/>
    </row>
    <row r="76">
      <c r="B76" s="16"/>
      <c r="C76" s="8"/>
    </row>
    <row r="77">
      <c r="B77" s="16"/>
      <c r="C77" s="8"/>
    </row>
    <row r="78">
      <c r="B78" s="16"/>
      <c r="C78" s="8"/>
    </row>
    <row r="79">
      <c r="B79" s="16"/>
      <c r="C79" s="8"/>
    </row>
    <row r="80">
      <c r="B80" s="16"/>
      <c r="C80" s="8"/>
    </row>
    <row r="81">
      <c r="B81" s="16"/>
      <c r="C81" s="8"/>
    </row>
    <row r="82">
      <c r="B82" s="16"/>
      <c r="C82" s="8"/>
    </row>
    <row r="83">
      <c r="B83" s="16"/>
      <c r="C83" s="8"/>
    </row>
    <row r="84">
      <c r="B84" s="16"/>
      <c r="C84" s="8"/>
    </row>
    <row r="85">
      <c r="B85" s="16"/>
      <c r="C85" s="8"/>
    </row>
    <row r="86">
      <c r="B86" s="16"/>
      <c r="C86" s="8"/>
    </row>
    <row r="87">
      <c r="B87" s="16"/>
      <c r="C87" s="8"/>
    </row>
    <row r="88">
      <c r="B88" s="16"/>
      <c r="C88" s="8"/>
    </row>
    <row r="89">
      <c r="B89" s="16"/>
      <c r="C89" s="8"/>
    </row>
    <row r="90">
      <c r="B90" s="16"/>
      <c r="C90" s="8"/>
    </row>
    <row r="91">
      <c r="B91" s="16"/>
      <c r="C91" s="8"/>
    </row>
    <row r="92">
      <c r="B92" s="16"/>
      <c r="C92" s="8"/>
    </row>
    <row r="93">
      <c r="B93" s="16"/>
      <c r="C93" s="8"/>
    </row>
    <row r="94">
      <c r="B94" s="16"/>
      <c r="C94" s="8"/>
    </row>
    <row r="95">
      <c r="B95" s="16"/>
      <c r="C95" s="8"/>
    </row>
    <row r="96">
      <c r="B96" s="16"/>
      <c r="C96" s="8"/>
    </row>
    <row r="97">
      <c r="B97" s="16"/>
      <c r="C97" s="8"/>
    </row>
    <row r="98">
      <c r="B98" s="16"/>
      <c r="C98" s="8"/>
    </row>
    <row r="99">
      <c r="B99" s="16"/>
      <c r="C99" s="8"/>
    </row>
    <row r="100">
      <c r="B100" s="16"/>
      <c r="C100" s="8"/>
    </row>
    <row r="101">
      <c r="B101" s="16"/>
      <c r="C101" s="8"/>
    </row>
    <row r="102">
      <c r="B102" s="16"/>
      <c r="C102" s="8"/>
    </row>
    <row r="103">
      <c r="B103" s="16"/>
      <c r="C103" s="8"/>
    </row>
    <row r="104">
      <c r="B104" s="16"/>
      <c r="C104" s="8"/>
    </row>
    <row r="105">
      <c r="B105" s="16"/>
      <c r="C105" s="8"/>
    </row>
    <row r="106">
      <c r="B106" s="16"/>
      <c r="C106" s="8"/>
    </row>
    <row r="107">
      <c r="B107" s="16"/>
      <c r="C107" s="8"/>
    </row>
    <row r="108">
      <c r="B108" s="16"/>
      <c r="C108" s="8"/>
    </row>
    <row r="109">
      <c r="B109" s="16"/>
      <c r="C109" s="8"/>
    </row>
    <row r="110">
      <c r="B110" s="16"/>
      <c r="C110" s="8"/>
    </row>
    <row r="111">
      <c r="B111" s="16"/>
      <c r="C111" s="8"/>
    </row>
    <row r="112">
      <c r="B112" s="16"/>
      <c r="C112" s="8"/>
    </row>
    <row r="113">
      <c r="B113" s="16"/>
      <c r="C113" s="8"/>
    </row>
    <row r="114">
      <c r="B114" s="16"/>
      <c r="C114" s="8"/>
    </row>
    <row r="115">
      <c r="B115" s="16"/>
      <c r="C115" s="8"/>
    </row>
    <row r="116">
      <c r="B116" s="16"/>
      <c r="C116" s="8"/>
    </row>
    <row r="117">
      <c r="B117" s="16"/>
      <c r="C117" s="8"/>
    </row>
    <row r="118">
      <c r="B118" s="16"/>
      <c r="C118" s="8"/>
    </row>
    <row r="119">
      <c r="B119" s="16"/>
      <c r="C119" s="8"/>
    </row>
    <row r="120">
      <c r="B120" s="16"/>
      <c r="C120" s="8"/>
    </row>
    <row r="121">
      <c r="B121" s="16"/>
      <c r="C121" s="8"/>
    </row>
    <row r="122">
      <c r="B122" s="16"/>
      <c r="C122" s="8"/>
    </row>
    <row r="123">
      <c r="B123" s="16"/>
      <c r="C123" s="8"/>
    </row>
    <row r="124">
      <c r="B124" s="16"/>
      <c r="C124" s="8"/>
    </row>
    <row r="125">
      <c r="B125" s="16"/>
      <c r="C125" s="8"/>
    </row>
    <row r="126">
      <c r="B126" s="16"/>
      <c r="C126" s="8"/>
    </row>
    <row r="127">
      <c r="B127" s="16"/>
      <c r="C127" s="8"/>
    </row>
    <row r="128">
      <c r="B128" s="16"/>
      <c r="C128" s="8"/>
    </row>
    <row r="129">
      <c r="B129" s="16"/>
      <c r="C129" s="8"/>
    </row>
    <row r="130">
      <c r="B130" s="16"/>
      <c r="C130" s="8"/>
    </row>
    <row r="131">
      <c r="B131" s="16"/>
      <c r="C131" s="8"/>
    </row>
    <row r="132">
      <c r="B132" s="16"/>
      <c r="C132" s="8"/>
    </row>
    <row r="133">
      <c r="B133" s="16"/>
      <c r="C133" s="8"/>
    </row>
    <row r="134">
      <c r="B134" s="16"/>
      <c r="C134" s="8"/>
    </row>
    <row r="135">
      <c r="B135" s="16"/>
      <c r="C135" s="8"/>
    </row>
    <row r="136">
      <c r="B136" s="16"/>
      <c r="C136" s="8"/>
    </row>
    <row r="137">
      <c r="B137" s="16"/>
      <c r="C137" s="8"/>
    </row>
    <row r="138">
      <c r="B138" s="16"/>
      <c r="C138" s="8"/>
    </row>
    <row r="139">
      <c r="B139" s="16"/>
      <c r="C139" s="8"/>
    </row>
    <row r="140">
      <c r="B140" s="16"/>
      <c r="C140" s="8"/>
    </row>
    <row r="141">
      <c r="B141" s="16"/>
      <c r="C141" s="8"/>
    </row>
    <row r="142">
      <c r="B142" s="16"/>
      <c r="C142" s="8"/>
    </row>
    <row r="143">
      <c r="B143" s="16"/>
      <c r="C143" s="8"/>
    </row>
    <row r="144">
      <c r="B144" s="16"/>
      <c r="C144" s="8"/>
    </row>
    <row r="145">
      <c r="B145" s="16"/>
      <c r="C145" s="8"/>
    </row>
    <row r="146">
      <c r="B146" s="16"/>
      <c r="C146" s="8"/>
    </row>
    <row r="147">
      <c r="B147" s="16"/>
      <c r="C147" s="8"/>
    </row>
    <row r="148">
      <c r="B148" s="16"/>
      <c r="C148" s="8"/>
    </row>
    <row r="149">
      <c r="B149" s="16"/>
      <c r="C149" s="8"/>
    </row>
    <row r="150">
      <c r="B150" s="16"/>
      <c r="C150" s="8"/>
    </row>
    <row r="151">
      <c r="B151" s="16"/>
      <c r="C151" s="8"/>
    </row>
    <row r="152">
      <c r="B152" s="16"/>
      <c r="C152" s="8"/>
    </row>
    <row r="153">
      <c r="B153" s="16"/>
      <c r="C153" s="8"/>
    </row>
    <row r="154">
      <c r="B154" s="16"/>
      <c r="C154" s="8"/>
    </row>
    <row r="155">
      <c r="B155" s="16"/>
      <c r="C155" s="8"/>
    </row>
    <row r="156">
      <c r="B156" s="16"/>
      <c r="C156" s="8"/>
    </row>
    <row r="157">
      <c r="B157" s="16"/>
      <c r="C157" s="8"/>
    </row>
    <row r="158">
      <c r="B158" s="16"/>
      <c r="C158" s="8"/>
    </row>
    <row r="159">
      <c r="B159" s="16"/>
      <c r="C159" s="8"/>
    </row>
    <row r="160">
      <c r="B160" s="16"/>
      <c r="C160" s="8"/>
    </row>
    <row r="161">
      <c r="B161" s="16"/>
      <c r="C161" s="8"/>
    </row>
    <row r="162">
      <c r="B162" s="16"/>
      <c r="C162" s="8"/>
    </row>
    <row r="163">
      <c r="B163" s="16"/>
      <c r="C163" s="8"/>
    </row>
    <row r="164">
      <c r="B164" s="16"/>
      <c r="C164" s="8"/>
    </row>
    <row r="165">
      <c r="B165" s="16"/>
      <c r="C165" s="8"/>
    </row>
    <row r="166">
      <c r="B166" s="16"/>
      <c r="C166" s="8"/>
    </row>
    <row r="167">
      <c r="B167" s="16"/>
      <c r="C167" s="8"/>
    </row>
    <row r="168">
      <c r="B168" s="16"/>
      <c r="C168" s="8"/>
    </row>
    <row r="169">
      <c r="B169" s="16"/>
      <c r="C169" s="8"/>
    </row>
    <row r="170">
      <c r="B170" s="16"/>
      <c r="C170" s="8"/>
    </row>
    <row r="171">
      <c r="B171" s="16"/>
      <c r="C171" s="8"/>
    </row>
    <row r="172">
      <c r="B172" s="16"/>
      <c r="C172" s="8"/>
    </row>
    <row r="173">
      <c r="B173" s="16"/>
      <c r="C173" s="8"/>
    </row>
    <row r="174">
      <c r="B174" s="16"/>
      <c r="C174" s="8"/>
    </row>
    <row r="175">
      <c r="B175" s="16"/>
      <c r="C175" s="8"/>
    </row>
    <row r="176">
      <c r="B176" s="16"/>
      <c r="C176" s="8"/>
    </row>
    <row r="177">
      <c r="B177" s="16"/>
      <c r="C177" s="8"/>
    </row>
    <row r="178">
      <c r="B178" s="16"/>
      <c r="C178" s="8"/>
    </row>
    <row r="179">
      <c r="B179" s="16"/>
      <c r="C179" s="8"/>
    </row>
    <row r="180">
      <c r="B180" s="16"/>
      <c r="C180" s="8"/>
    </row>
    <row r="181">
      <c r="B181" s="16"/>
      <c r="C181" s="8"/>
    </row>
    <row r="182">
      <c r="B182" s="16"/>
      <c r="C182" s="8"/>
    </row>
    <row r="183">
      <c r="B183" s="16"/>
      <c r="C183" s="8"/>
    </row>
    <row r="184">
      <c r="B184" s="16"/>
      <c r="C184" s="8"/>
    </row>
    <row r="185">
      <c r="B185" s="16"/>
      <c r="C185" s="8"/>
    </row>
    <row r="186">
      <c r="B186" s="16"/>
      <c r="C186" s="8"/>
    </row>
    <row r="187">
      <c r="B187" s="16"/>
      <c r="C187" s="8"/>
    </row>
    <row r="188">
      <c r="B188" s="16"/>
      <c r="C188" s="8"/>
    </row>
    <row r="189">
      <c r="B189" s="16"/>
      <c r="C189" s="8"/>
    </row>
    <row r="190">
      <c r="B190" s="16"/>
      <c r="C190" s="8"/>
    </row>
    <row r="191">
      <c r="B191" s="16"/>
      <c r="C191" s="8"/>
    </row>
    <row r="192">
      <c r="B192" s="16"/>
      <c r="C192" s="8"/>
    </row>
    <row r="193">
      <c r="B193" s="16"/>
      <c r="C193" s="8"/>
    </row>
    <row r="194">
      <c r="B194" s="16"/>
      <c r="C194" s="8"/>
    </row>
    <row r="195">
      <c r="B195" s="16"/>
      <c r="C195" s="8"/>
    </row>
    <row r="196">
      <c r="B196" s="16"/>
      <c r="C196" s="8"/>
    </row>
    <row r="197">
      <c r="B197" s="16"/>
      <c r="C197" s="8"/>
    </row>
    <row r="198">
      <c r="B198" s="16"/>
      <c r="C198" s="8"/>
    </row>
    <row r="199">
      <c r="B199" s="16"/>
      <c r="C199" s="8"/>
    </row>
    <row r="200">
      <c r="B200" s="16"/>
      <c r="C200" s="8"/>
    </row>
    <row r="201">
      <c r="B201" s="16"/>
      <c r="C201" s="8"/>
    </row>
    <row r="202">
      <c r="B202" s="16"/>
      <c r="C202" s="8"/>
    </row>
    <row r="203">
      <c r="B203" s="16"/>
      <c r="C203" s="8"/>
    </row>
    <row r="204">
      <c r="B204" s="16"/>
      <c r="C204" s="8"/>
    </row>
    <row r="205">
      <c r="B205" s="16"/>
      <c r="C205" s="8"/>
    </row>
    <row r="206">
      <c r="B206" s="16"/>
      <c r="C206" s="8"/>
    </row>
    <row r="207">
      <c r="B207" s="16"/>
      <c r="C207" s="8"/>
    </row>
    <row r="208">
      <c r="B208" s="16"/>
      <c r="C208" s="8"/>
    </row>
    <row r="209">
      <c r="B209" s="16"/>
      <c r="C209" s="8"/>
    </row>
    <row r="210">
      <c r="B210" s="16"/>
      <c r="C210" s="8"/>
    </row>
    <row r="211">
      <c r="B211" s="16"/>
      <c r="C211" s="8"/>
    </row>
    <row r="212">
      <c r="B212" s="16"/>
      <c r="C212" s="8"/>
    </row>
    <row r="213">
      <c r="B213" s="16"/>
      <c r="C213" s="8"/>
    </row>
    <row r="214">
      <c r="B214" s="16"/>
      <c r="C214" s="8"/>
    </row>
    <row r="215">
      <c r="B215" s="16"/>
      <c r="C215" s="8"/>
    </row>
    <row r="216">
      <c r="B216" s="16"/>
      <c r="C216" s="8"/>
    </row>
    <row r="217">
      <c r="B217" s="16"/>
      <c r="C217" s="8"/>
    </row>
    <row r="218">
      <c r="B218" s="16"/>
      <c r="C218" s="8"/>
    </row>
    <row r="219">
      <c r="B219" s="16"/>
      <c r="C219" s="8"/>
    </row>
    <row r="220">
      <c r="B220" s="16"/>
      <c r="C220" s="8"/>
    </row>
    <row r="221">
      <c r="B221" s="16"/>
      <c r="C221" s="8"/>
    </row>
    <row r="222">
      <c r="B222" s="16"/>
      <c r="C222" s="8"/>
    </row>
    <row r="223">
      <c r="B223" s="16"/>
      <c r="C223" s="8"/>
    </row>
    <row r="224">
      <c r="B224" s="16"/>
      <c r="C224" s="8"/>
    </row>
    <row r="225">
      <c r="B225" s="16"/>
      <c r="C225" s="8"/>
    </row>
    <row r="226">
      <c r="B226" s="16"/>
      <c r="C226" s="8"/>
    </row>
    <row r="227">
      <c r="B227" s="16"/>
      <c r="C227" s="8"/>
    </row>
    <row r="228">
      <c r="B228" s="16"/>
      <c r="C228" s="8"/>
    </row>
    <row r="229">
      <c r="B229" s="16"/>
      <c r="C229" s="8"/>
    </row>
    <row r="230">
      <c r="B230" s="16"/>
      <c r="C230" s="8"/>
    </row>
    <row r="231">
      <c r="B231" s="16"/>
      <c r="C231" s="8"/>
    </row>
    <row r="232">
      <c r="B232" s="16"/>
      <c r="C232" s="8"/>
    </row>
    <row r="233">
      <c r="B233" s="16"/>
      <c r="C233" s="8"/>
    </row>
    <row r="234">
      <c r="B234" s="16"/>
      <c r="C234" s="8"/>
    </row>
    <row r="235">
      <c r="B235" s="16"/>
      <c r="C235" s="8"/>
    </row>
    <row r="236">
      <c r="B236" s="16"/>
      <c r="C236" s="8"/>
    </row>
    <row r="237">
      <c r="B237" s="16"/>
      <c r="C237" s="8"/>
    </row>
    <row r="238">
      <c r="B238" s="16"/>
      <c r="C238" s="8"/>
    </row>
    <row r="239">
      <c r="B239" s="16"/>
      <c r="C239" s="8"/>
    </row>
    <row r="240">
      <c r="B240" s="16"/>
      <c r="C240" s="8"/>
    </row>
    <row r="241">
      <c r="B241" s="16"/>
      <c r="C241" s="8"/>
    </row>
    <row r="242">
      <c r="B242" s="16"/>
      <c r="C242" s="8"/>
    </row>
    <row r="243">
      <c r="B243" s="16"/>
      <c r="C243" s="8"/>
    </row>
    <row r="244">
      <c r="B244" s="16"/>
      <c r="C244" s="8"/>
    </row>
    <row r="245">
      <c r="B245" s="16"/>
      <c r="C245" s="8"/>
    </row>
    <row r="246">
      <c r="B246" s="16"/>
      <c r="C246" s="8"/>
    </row>
    <row r="247">
      <c r="B247" s="16"/>
      <c r="C247" s="8"/>
    </row>
    <row r="248">
      <c r="B248" s="16"/>
      <c r="C248" s="8"/>
    </row>
    <row r="249">
      <c r="B249" s="16"/>
      <c r="C249" s="8"/>
    </row>
    <row r="250">
      <c r="B250" s="16"/>
      <c r="C250" s="8"/>
    </row>
    <row r="251">
      <c r="B251" s="16"/>
      <c r="C251" s="8"/>
    </row>
    <row r="252">
      <c r="B252" s="16"/>
      <c r="C252" s="8"/>
    </row>
    <row r="253">
      <c r="B253" s="16"/>
      <c r="C253" s="8"/>
    </row>
    <row r="254">
      <c r="B254" s="16"/>
      <c r="C254" s="8"/>
    </row>
    <row r="255">
      <c r="B255" s="16"/>
      <c r="C255" s="8"/>
    </row>
    <row r="256">
      <c r="B256" s="16"/>
      <c r="C256" s="8"/>
    </row>
    <row r="257">
      <c r="B257" s="16"/>
      <c r="C257" s="8"/>
    </row>
    <row r="258">
      <c r="B258" s="16"/>
      <c r="C258" s="8"/>
    </row>
    <row r="259">
      <c r="B259" s="16"/>
      <c r="C259" s="8"/>
    </row>
    <row r="260">
      <c r="B260" s="16"/>
      <c r="C260" s="8"/>
    </row>
    <row r="261">
      <c r="B261" s="16"/>
      <c r="C261" s="8"/>
    </row>
    <row r="262">
      <c r="B262" s="16"/>
      <c r="C262" s="8"/>
    </row>
    <row r="263">
      <c r="B263" s="16"/>
      <c r="C263" s="8"/>
    </row>
    <row r="264">
      <c r="B264" s="16"/>
      <c r="C264" s="8"/>
    </row>
    <row r="265">
      <c r="B265" s="16"/>
      <c r="C265" s="8"/>
    </row>
    <row r="266">
      <c r="B266" s="16"/>
      <c r="C266" s="8"/>
    </row>
    <row r="267">
      <c r="B267" s="16"/>
      <c r="C267" s="8"/>
    </row>
    <row r="268">
      <c r="B268" s="16"/>
      <c r="C268" s="8"/>
    </row>
    <row r="269">
      <c r="B269" s="16"/>
      <c r="C269" s="8"/>
    </row>
    <row r="270">
      <c r="B270" s="16"/>
      <c r="C270" s="8"/>
    </row>
    <row r="271">
      <c r="B271" s="16"/>
      <c r="C271" s="8"/>
    </row>
    <row r="272">
      <c r="B272" s="16"/>
      <c r="C272" s="8"/>
    </row>
    <row r="273">
      <c r="B273" s="16"/>
      <c r="C273" s="8"/>
    </row>
    <row r="274">
      <c r="B274" s="16"/>
      <c r="C274" s="8"/>
    </row>
    <row r="275">
      <c r="B275" s="16"/>
      <c r="C275" s="8"/>
    </row>
    <row r="276">
      <c r="B276" s="16"/>
      <c r="C276" s="8"/>
    </row>
    <row r="277">
      <c r="B277" s="16"/>
      <c r="C277" s="8"/>
    </row>
    <row r="278">
      <c r="B278" s="16"/>
      <c r="C278" s="8"/>
    </row>
    <row r="279">
      <c r="B279" s="16"/>
      <c r="C279" s="8"/>
    </row>
    <row r="280">
      <c r="B280" s="16"/>
      <c r="C280" s="8"/>
    </row>
    <row r="281">
      <c r="B281" s="16"/>
      <c r="C281" s="8"/>
    </row>
    <row r="282">
      <c r="B282" s="16"/>
      <c r="C282" s="8"/>
    </row>
    <row r="283">
      <c r="B283" s="16"/>
      <c r="C283" s="8"/>
    </row>
    <row r="284">
      <c r="B284" s="16"/>
      <c r="C284" s="8"/>
    </row>
    <row r="285">
      <c r="B285" s="16"/>
      <c r="C285" s="8"/>
    </row>
    <row r="286">
      <c r="B286" s="16"/>
      <c r="C286" s="8"/>
    </row>
    <row r="287">
      <c r="B287" s="16"/>
      <c r="C287" s="8"/>
    </row>
    <row r="288">
      <c r="B288" s="16"/>
      <c r="C288" s="8"/>
    </row>
    <row r="289">
      <c r="B289" s="16"/>
      <c r="C289" s="8"/>
    </row>
    <row r="290">
      <c r="B290" s="16"/>
      <c r="C290" s="8"/>
    </row>
    <row r="291">
      <c r="B291" s="16"/>
      <c r="C291" s="8"/>
    </row>
    <row r="292">
      <c r="B292" s="16"/>
      <c r="C292" s="8"/>
    </row>
    <row r="293">
      <c r="B293" s="16"/>
      <c r="C293" s="8"/>
    </row>
    <row r="294">
      <c r="B294" s="16"/>
      <c r="C294" s="8"/>
    </row>
    <row r="295">
      <c r="B295" s="16"/>
      <c r="C295" s="8"/>
    </row>
    <row r="296">
      <c r="B296" s="16"/>
      <c r="C296" s="8"/>
    </row>
    <row r="297">
      <c r="B297" s="16"/>
      <c r="C297" s="8"/>
    </row>
    <row r="298">
      <c r="B298" s="16"/>
      <c r="C298" s="8"/>
    </row>
    <row r="299">
      <c r="B299" s="16"/>
      <c r="C299" s="8"/>
    </row>
    <row r="300">
      <c r="B300" s="16"/>
      <c r="C300" s="8"/>
    </row>
    <row r="301">
      <c r="B301" s="16"/>
      <c r="C301" s="8"/>
    </row>
    <row r="302">
      <c r="B302" s="16"/>
      <c r="C302" s="8"/>
    </row>
    <row r="303">
      <c r="B303" s="16"/>
      <c r="C303" s="8"/>
    </row>
    <row r="304">
      <c r="B304" s="16"/>
      <c r="C304" s="8"/>
    </row>
    <row r="305">
      <c r="B305" s="16"/>
      <c r="C305" s="8"/>
    </row>
    <row r="306">
      <c r="B306" s="16"/>
      <c r="C306" s="8"/>
    </row>
    <row r="307">
      <c r="B307" s="16"/>
      <c r="C307" s="8"/>
    </row>
    <row r="308">
      <c r="B308" s="16"/>
      <c r="C308" s="8"/>
    </row>
    <row r="309">
      <c r="B309" s="16"/>
      <c r="C309" s="8"/>
    </row>
    <row r="310">
      <c r="B310" s="16"/>
      <c r="C310" s="8"/>
    </row>
    <row r="311">
      <c r="B311" s="16"/>
      <c r="C311" s="8"/>
    </row>
    <row r="312">
      <c r="B312" s="16"/>
      <c r="C312" s="8"/>
    </row>
    <row r="313">
      <c r="B313" s="16"/>
      <c r="C313" s="8"/>
    </row>
    <row r="314">
      <c r="B314" s="16"/>
      <c r="C314" s="8"/>
    </row>
    <row r="315">
      <c r="B315" s="16"/>
      <c r="C315" s="8"/>
    </row>
    <row r="316">
      <c r="B316" s="16"/>
      <c r="C316" s="8"/>
    </row>
    <row r="317">
      <c r="B317" s="16"/>
      <c r="C317" s="8"/>
    </row>
    <row r="318">
      <c r="B318" s="16"/>
      <c r="C318" s="8"/>
    </row>
    <row r="319">
      <c r="B319" s="16"/>
      <c r="C319" s="8"/>
    </row>
    <row r="320">
      <c r="B320" s="16"/>
      <c r="C320" s="8"/>
    </row>
    <row r="321">
      <c r="B321" s="16"/>
      <c r="C321" s="8"/>
    </row>
    <row r="322">
      <c r="B322" s="16"/>
      <c r="C322" s="8"/>
    </row>
    <row r="323">
      <c r="B323" s="16"/>
      <c r="C323" s="8"/>
    </row>
    <row r="324">
      <c r="B324" s="16"/>
      <c r="C324" s="8"/>
    </row>
    <row r="325">
      <c r="B325" s="16"/>
      <c r="C325" s="8"/>
    </row>
    <row r="326">
      <c r="B326" s="16"/>
      <c r="C326" s="8"/>
    </row>
    <row r="327">
      <c r="B327" s="16"/>
      <c r="C327" s="8"/>
    </row>
    <row r="328">
      <c r="B328" s="16"/>
      <c r="C328" s="8"/>
    </row>
    <row r="329">
      <c r="B329" s="16"/>
      <c r="C329" s="8"/>
    </row>
    <row r="330">
      <c r="B330" s="16"/>
      <c r="C330" s="8"/>
    </row>
    <row r="331">
      <c r="B331" s="16"/>
      <c r="C331" s="8"/>
    </row>
    <row r="332">
      <c r="B332" s="16"/>
      <c r="C332" s="8"/>
    </row>
    <row r="333">
      <c r="B333" s="16"/>
      <c r="C333" s="8"/>
    </row>
    <row r="334">
      <c r="B334" s="16"/>
      <c r="C334" s="8"/>
    </row>
    <row r="335">
      <c r="B335" s="16"/>
      <c r="C335" s="8"/>
    </row>
    <row r="336">
      <c r="B336" s="16"/>
      <c r="C336" s="8"/>
    </row>
    <row r="337">
      <c r="B337" s="16"/>
      <c r="C337" s="8"/>
    </row>
    <row r="338">
      <c r="B338" s="16"/>
      <c r="C338" s="8"/>
    </row>
    <row r="339">
      <c r="B339" s="16"/>
      <c r="C339" s="8"/>
    </row>
    <row r="340">
      <c r="B340" s="16"/>
      <c r="C340" s="8"/>
    </row>
    <row r="341">
      <c r="B341" s="16"/>
      <c r="C341" s="8"/>
    </row>
    <row r="342">
      <c r="B342" s="16"/>
      <c r="C342" s="8"/>
    </row>
    <row r="343">
      <c r="B343" s="16"/>
      <c r="C343" s="8"/>
    </row>
    <row r="344">
      <c r="B344" s="16"/>
      <c r="C344" s="8"/>
    </row>
    <row r="345">
      <c r="B345" s="16"/>
      <c r="C345" s="8"/>
    </row>
    <row r="346">
      <c r="B346" s="16"/>
      <c r="C346" s="8"/>
    </row>
    <row r="347">
      <c r="B347" s="16"/>
      <c r="C347" s="8"/>
    </row>
    <row r="348">
      <c r="B348" s="16"/>
      <c r="C348" s="8"/>
    </row>
    <row r="349">
      <c r="B349" s="16"/>
      <c r="C349" s="8"/>
    </row>
    <row r="350">
      <c r="B350" s="16"/>
      <c r="C350" s="8"/>
    </row>
    <row r="351">
      <c r="B351" s="16"/>
      <c r="C351" s="8"/>
    </row>
    <row r="352">
      <c r="B352" s="16"/>
      <c r="C352" s="8"/>
    </row>
    <row r="353">
      <c r="B353" s="16"/>
      <c r="C353" s="8"/>
    </row>
    <row r="354">
      <c r="B354" s="16"/>
      <c r="C354" s="8"/>
    </row>
    <row r="355">
      <c r="B355" s="16"/>
      <c r="C355" s="8"/>
    </row>
    <row r="356">
      <c r="B356" s="16"/>
      <c r="C356" s="8"/>
    </row>
    <row r="357">
      <c r="B357" s="16"/>
      <c r="C357" s="8"/>
    </row>
    <row r="358">
      <c r="B358" s="16"/>
      <c r="C358" s="8"/>
    </row>
    <row r="359">
      <c r="B359" s="16"/>
      <c r="C359" s="8"/>
    </row>
    <row r="360">
      <c r="B360" s="16"/>
      <c r="C360" s="8"/>
    </row>
    <row r="361">
      <c r="B361" s="16"/>
      <c r="C361" s="8"/>
    </row>
    <row r="362">
      <c r="B362" s="16"/>
      <c r="C362" s="8"/>
    </row>
    <row r="363">
      <c r="B363" s="16"/>
      <c r="C363" s="8"/>
    </row>
    <row r="364">
      <c r="B364" s="16"/>
      <c r="C364" s="8"/>
    </row>
    <row r="365">
      <c r="B365" s="16"/>
      <c r="C365" s="8"/>
    </row>
    <row r="366">
      <c r="B366" s="16"/>
      <c r="C366" s="8"/>
    </row>
    <row r="367">
      <c r="B367" s="16"/>
      <c r="C367" s="8"/>
    </row>
    <row r="368">
      <c r="B368" s="16"/>
      <c r="C368" s="8"/>
    </row>
    <row r="369">
      <c r="B369" s="16"/>
      <c r="C369" s="8"/>
    </row>
    <row r="370">
      <c r="B370" s="16"/>
      <c r="C370" s="8"/>
    </row>
    <row r="371">
      <c r="B371" s="16"/>
      <c r="C371" s="8"/>
    </row>
    <row r="372">
      <c r="B372" s="16"/>
      <c r="C372" s="8"/>
    </row>
    <row r="373">
      <c r="B373" s="16"/>
      <c r="C373" s="8"/>
    </row>
    <row r="374">
      <c r="B374" s="16"/>
      <c r="C374" s="8"/>
    </row>
    <row r="375">
      <c r="B375" s="16"/>
      <c r="C375" s="8"/>
    </row>
    <row r="376">
      <c r="B376" s="16"/>
      <c r="C376" s="8"/>
    </row>
    <row r="377">
      <c r="B377" s="16"/>
      <c r="C377" s="8"/>
    </row>
    <row r="378">
      <c r="B378" s="16"/>
      <c r="C378" s="8"/>
    </row>
    <row r="379">
      <c r="B379" s="16"/>
      <c r="C379" s="8"/>
    </row>
    <row r="380">
      <c r="B380" s="16"/>
      <c r="C380" s="8"/>
    </row>
    <row r="381">
      <c r="B381" s="16"/>
      <c r="C381" s="8"/>
    </row>
    <row r="382">
      <c r="B382" s="16"/>
      <c r="C382" s="8"/>
    </row>
    <row r="383">
      <c r="B383" s="16"/>
      <c r="C383" s="8"/>
    </row>
    <row r="384">
      <c r="B384" s="16"/>
      <c r="C384" s="8"/>
    </row>
    <row r="385">
      <c r="B385" s="16"/>
      <c r="C385" s="8"/>
    </row>
    <row r="386">
      <c r="B386" s="16"/>
      <c r="C386" s="8"/>
    </row>
    <row r="387">
      <c r="B387" s="16"/>
      <c r="C387" s="8"/>
    </row>
    <row r="388">
      <c r="B388" s="16"/>
      <c r="C388" s="8"/>
    </row>
    <row r="389">
      <c r="B389" s="16"/>
      <c r="C389" s="8"/>
    </row>
    <row r="390">
      <c r="B390" s="16"/>
      <c r="C390" s="8"/>
    </row>
    <row r="391">
      <c r="B391" s="16"/>
      <c r="C391" s="8"/>
    </row>
    <row r="392">
      <c r="B392" s="16"/>
      <c r="C392" s="8"/>
    </row>
    <row r="393">
      <c r="B393" s="16"/>
      <c r="C393" s="8"/>
    </row>
    <row r="394">
      <c r="B394" s="16"/>
      <c r="C394" s="8"/>
    </row>
    <row r="395">
      <c r="B395" s="16"/>
      <c r="C395" s="8"/>
    </row>
    <row r="396">
      <c r="B396" s="16"/>
      <c r="C396" s="8"/>
    </row>
    <row r="397">
      <c r="B397" s="16"/>
      <c r="C397" s="8"/>
    </row>
    <row r="398">
      <c r="B398" s="16"/>
      <c r="C398" s="8"/>
    </row>
    <row r="399">
      <c r="B399" s="16"/>
      <c r="C399" s="8"/>
    </row>
    <row r="400">
      <c r="B400" s="16"/>
      <c r="C400" s="8"/>
    </row>
    <row r="401">
      <c r="B401" s="16"/>
      <c r="C401" s="8"/>
    </row>
    <row r="402">
      <c r="B402" s="16"/>
      <c r="C402" s="8"/>
    </row>
    <row r="403">
      <c r="B403" s="16"/>
      <c r="C403" s="8"/>
    </row>
    <row r="404">
      <c r="B404" s="16"/>
      <c r="C404" s="8"/>
    </row>
    <row r="405">
      <c r="B405" s="16"/>
      <c r="C405" s="8"/>
    </row>
    <row r="406">
      <c r="B406" s="16"/>
      <c r="C406" s="8"/>
    </row>
    <row r="407">
      <c r="B407" s="16"/>
      <c r="C407" s="8"/>
    </row>
    <row r="408">
      <c r="B408" s="16"/>
      <c r="C408" s="8"/>
    </row>
    <row r="409">
      <c r="B409" s="16"/>
      <c r="C409" s="8"/>
    </row>
    <row r="410">
      <c r="B410" s="16"/>
      <c r="C410" s="8"/>
    </row>
    <row r="411">
      <c r="B411" s="16"/>
      <c r="C411" s="8"/>
    </row>
    <row r="412">
      <c r="B412" s="16"/>
      <c r="C412" s="8"/>
    </row>
    <row r="413">
      <c r="B413" s="16"/>
      <c r="C413" s="8"/>
    </row>
    <row r="414">
      <c r="B414" s="16"/>
      <c r="C414" s="8"/>
    </row>
    <row r="415">
      <c r="B415" s="16"/>
      <c r="C415" s="8"/>
    </row>
    <row r="416">
      <c r="B416" s="16"/>
      <c r="C416" s="8"/>
    </row>
    <row r="417">
      <c r="B417" s="16"/>
      <c r="C417" s="8"/>
    </row>
    <row r="418">
      <c r="B418" s="16"/>
      <c r="C418" s="8"/>
    </row>
    <row r="419">
      <c r="B419" s="16"/>
      <c r="C419" s="8"/>
    </row>
    <row r="420">
      <c r="B420" s="16"/>
      <c r="C420" s="8"/>
    </row>
    <row r="421">
      <c r="B421" s="16"/>
      <c r="C421" s="8"/>
    </row>
    <row r="422">
      <c r="B422" s="16"/>
      <c r="C422" s="8"/>
    </row>
    <row r="423">
      <c r="B423" s="16"/>
      <c r="C423" s="8"/>
    </row>
    <row r="424">
      <c r="B424" s="16"/>
      <c r="C424" s="8"/>
    </row>
    <row r="425">
      <c r="B425" s="16"/>
      <c r="C425" s="8"/>
    </row>
    <row r="426">
      <c r="B426" s="16"/>
      <c r="C426" s="8"/>
    </row>
    <row r="427">
      <c r="B427" s="16"/>
      <c r="C427" s="8"/>
    </row>
    <row r="428">
      <c r="B428" s="16"/>
      <c r="C428" s="8"/>
    </row>
    <row r="429">
      <c r="B429" s="16"/>
      <c r="C429" s="8"/>
    </row>
    <row r="430">
      <c r="B430" s="16"/>
      <c r="C430" s="8"/>
    </row>
    <row r="431">
      <c r="B431" s="16"/>
      <c r="C431" s="8"/>
    </row>
    <row r="432">
      <c r="B432" s="16"/>
      <c r="C432" s="8"/>
    </row>
    <row r="433">
      <c r="B433" s="16"/>
      <c r="C433" s="8"/>
    </row>
    <row r="434">
      <c r="B434" s="16"/>
      <c r="C434" s="8"/>
    </row>
    <row r="435">
      <c r="B435" s="16"/>
      <c r="C435" s="8"/>
    </row>
    <row r="436">
      <c r="B436" s="16"/>
      <c r="C436" s="8"/>
    </row>
    <row r="437">
      <c r="B437" s="16"/>
      <c r="C437" s="8"/>
    </row>
    <row r="438">
      <c r="B438" s="16"/>
      <c r="C438" s="8"/>
    </row>
    <row r="439">
      <c r="B439" s="16"/>
      <c r="C439" s="8"/>
    </row>
    <row r="440">
      <c r="B440" s="16"/>
      <c r="C440" s="8"/>
    </row>
    <row r="441">
      <c r="B441" s="16"/>
      <c r="C441" s="8"/>
    </row>
    <row r="442">
      <c r="B442" s="16"/>
      <c r="C442" s="8"/>
    </row>
    <row r="443">
      <c r="B443" s="16"/>
      <c r="C443" s="8"/>
    </row>
    <row r="444">
      <c r="B444" s="16"/>
      <c r="C444" s="8"/>
    </row>
    <row r="445">
      <c r="B445" s="16"/>
      <c r="C445" s="8"/>
    </row>
    <row r="446">
      <c r="B446" s="16"/>
      <c r="C446" s="8"/>
    </row>
    <row r="447">
      <c r="B447" s="16"/>
      <c r="C447" s="8"/>
    </row>
    <row r="448">
      <c r="B448" s="16"/>
      <c r="C448" s="8"/>
    </row>
    <row r="449">
      <c r="B449" s="16"/>
      <c r="C449" s="8"/>
    </row>
    <row r="450">
      <c r="B450" s="16"/>
      <c r="C450" s="8"/>
    </row>
    <row r="451">
      <c r="B451" s="16"/>
      <c r="C451" s="8"/>
    </row>
    <row r="452">
      <c r="B452" s="16"/>
      <c r="C452" s="8"/>
    </row>
    <row r="453">
      <c r="B453" s="16"/>
      <c r="C453" s="8"/>
    </row>
    <row r="454">
      <c r="B454" s="16"/>
      <c r="C454" s="8"/>
    </row>
    <row r="455">
      <c r="B455" s="16"/>
      <c r="C455" s="8"/>
    </row>
    <row r="456">
      <c r="B456" s="16"/>
      <c r="C456" s="8"/>
    </row>
    <row r="457">
      <c r="B457" s="16"/>
      <c r="C457" s="8"/>
    </row>
    <row r="458">
      <c r="B458" s="16"/>
      <c r="C458" s="8"/>
    </row>
    <row r="459">
      <c r="B459" s="16"/>
      <c r="C459" s="8"/>
    </row>
    <row r="460">
      <c r="B460" s="16"/>
      <c r="C460" s="8"/>
    </row>
    <row r="461">
      <c r="B461" s="16"/>
      <c r="C461" s="8"/>
    </row>
    <row r="462">
      <c r="B462" s="16"/>
      <c r="C462" s="8"/>
    </row>
    <row r="463">
      <c r="B463" s="16"/>
      <c r="C463" s="8"/>
    </row>
    <row r="464">
      <c r="B464" s="16"/>
      <c r="C464" s="8"/>
    </row>
    <row r="465">
      <c r="B465" s="16"/>
      <c r="C465" s="8"/>
    </row>
    <row r="466">
      <c r="B466" s="16"/>
      <c r="C466" s="8"/>
    </row>
    <row r="467">
      <c r="B467" s="16"/>
      <c r="C467" s="8"/>
    </row>
    <row r="468">
      <c r="B468" s="16"/>
      <c r="C468" s="8"/>
    </row>
    <row r="469">
      <c r="B469" s="16"/>
      <c r="C469" s="8"/>
    </row>
    <row r="470">
      <c r="B470" s="16"/>
      <c r="C470" s="8"/>
    </row>
    <row r="471">
      <c r="B471" s="16"/>
      <c r="C471" s="8"/>
    </row>
    <row r="472">
      <c r="B472" s="16"/>
      <c r="C472" s="8"/>
    </row>
    <row r="473">
      <c r="B473" s="16"/>
      <c r="C473" s="8"/>
    </row>
    <row r="474">
      <c r="B474" s="16"/>
      <c r="C474" s="8"/>
    </row>
    <row r="475">
      <c r="B475" s="16"/>
      <c r="C475" s="8"/>
    </row>
    <row r="476">
      <c r="B476" s="16"/>
      <c r="C476" s="8"/>
    </row>
    <row r="477">
      <c r="B477" s="16"/>
      <c r="C477" s="8"/>
    </row>
    <row r="478">
      <c r="B478" s="16"/>
      <c r="C478" s="8"/>
    </row>
    <row r="479">
      <c r="B479" s="16"/>
      <c r="C479" s="8"/>
    </row>
    <row r="480">
      <c r="B480" s="16"/>
      <c r="C480" s="8"/>
    </row>
    <row r="481">
      <c r="B481" s="16"/>
      <c r="C481" s="8"/>
    </row>
    <row r="482">
      <c r="B482" s="16"/>
      <c r="C482" s="8"/>
    </row>
    <row r="483">
      <c r="B483" s="16"/>
      <c r="C483" s="8"/>
    </row>
    <row r="484">
      <c r="B484" s="16"/>
      <c r="C484" s="8"/>
    </row>
    <row r="485">
      <c r="B485" s="16"/>
      <c r="C485" s="8"/>
    </row>
    <row r="486">
      <c r="B486" s="16"/>
      <c r="C486" s="8"/>
    </row>
    <row r="487">
      <c r="B487" s="16"/>
      <c r="C487" s="8"/>
    </row>
    <row r="488">
      <c r="B488" s="16"/>
      <c r="C488" s="8"/>
    </row>
    <row r="489">
      <c r="B489" s="16"/>
      <c r="C489" s="8"/>
    </row>
    <row r="490">
      <c r="B490" s="16"/>
      <c r="C490" s="8"/>
    </row>
    <row r="491">
      <c r="B491" s="16"/>
      <c r="C491" s="8"/>
    </row>
    <row r="492">
      <c r="B492" s="16"/>
      <c r="C492" s="8"/>
    </row>
    <row r="493">
      <c r="B493" s="16"/>
      <c r="C493" s="8"/>
    </row>
    <row r="494">
      <c r="B494" s="16"/>
      <c r="C494" s="8"/>
    </row>
    <row r="495">
      <c r="B495" s="16"/>
      <c r="C495" s="8"/>
    </row>
    <row r="496">
      <c r="B496" s="16"/>
      <c r="C496" s="8"/>
    </row>
    <row r="497">
      <c r="B497" s="16"/>
      <c r="C497" s="8"/>
    </row>
    <row r="498">
      <c r="B498" s="16"/>
      <c r="C498" s="8"/>
    </row>
    <row r="499">
      <c r="B499" s="16"/>
      <c r="C499" s="8"/>
    </row>
    <row r="500">
      <c r="B500" s="16"/>
      <c r="C500" s="8"/>
    </row>
    <row r="501">
      <c r="B501" s="16"/>
      <c r="C501" s="8"/>
    </row>
    <row r="502">
      <c r="B502" s="16"/>
      <c r="C502" s="8"/>
    </row>
    <row r="503">
      <c r="B503" s="16"/>
      <c r="C503" s="8"/>
    </row>
    <row r="504">
      <c r="B504" s="16"/>
      <c r="C504" s="8"/>
    </row>
    <row r="505">
      <c r="B505" s="16"/>
      <c r="C505" s="8"/>
    </row>
    <row r="506">
      <c r="B506" s="16"/>
      <c r="C506" s="8"/>
    </row>
    <row r="507">
      <c r="B507" s="16"/>
      <c r="C507" s="8"/>
    </row>
    <row r="508">
      <c r="B508" s="16"/>
      <c r="C508" s="8"/>
    </row>
    <row r="509">
      <c r="B509" s="16"/>
      <c r="C509" s="8"/>
    </row>
    <row r="510">
      <c r="B510" s="16"/>
      <c r="C510" s="8"/>
    </row>
    <row r="511">
      <c r="B511" s="16"/>
      <c r="C511" s="8"/>
    </row>
    <row r="512">
      <c r="B512" s="16"/>
      <c r="C512" s="8"/>
    </row>
    <row r="513">
      <c r="B513" s="16"/>
      <c r="C513" s="8"/>
    </row>
    <row r="514">
      <c r="B514" s="16"/>
      <c r="C514" s="8"/>
    </row>
    <row r="515">
      <c r="B515" s="16"/>
      <c r="C515" s="8"/>
    </row>
    <row r="516">
      <c r="B516" s="16"/>
      <c r="C516" s="8"/>
    </row>
    <row r="517">
      <c r="B517" s="16"/>
      <c r="C517" s="8"/>
    </row>
    <row r="518">
      <c r="B518" s="16"/>
      <c r="C518" s="8"/>
    </row>
    <row r="519">
      <c r="B519" s="16"/>
      <c r="C519" s="8"/>
    </row>
    <row r="520">
      <c r="B520" s="16"/>
      <c r="C520" s="8"/>
    </row>
    <row r="521">
      <c r="B521" s="16"/>
      <c r="C521" s="8"/>
    </row>
    <row r="522">
      <c r="B522" s="16"/>
      <c r="C522" s="8"/>
    </row>
    <row r="523">
      <c r="B523" s="16"/>
      <c r="C523" s="8"/>
    </row>
    <row r="524">
      <c r="B524" s="16"/>
      <c r="C524" s="8"/>
    </row>
    <row r="525">
      <c r="B525" s="16"/>
      <c r="C525" s="8"/>
    </row>
    <row r="526">
      <c r="B526" s="16"/>
      <c r="C526" s="8"/>
    </row>
    <row r="527">
      <c r="B527" s="16"/>
      <c r="C527" s="8"/>
    </row>
    <row r="528">
      <c r="B528" s="16"/>
      <c r="C528" s="8"/>
    </row>
    <row r="529">
      <c r="B529" s="16"/>
      <c r="C529" s="8"/>
    </row>
    <row r="530">
      <c r="B530" s="16"/>
      <c r="C530" s="8"/>
    </row>
    <row r="531">
      <c r="B531" s="16"/>
      <c r="C531" s="8"/>
    </row>
    <row r="532">
      <c r="B532" s="16"/>
      <c r="C532" s="8"/>
    </row>
    <row r="533">
      <c r="B533" s="16"/>
      <c r="C533" s="8"/>
    </row>
    <row r="534">
      <c r="B534" s="16"/>
      <c r="C534" s="8"/>
    </row>
    <row r="535">
      <c r="B535" s="16"/>
      <c r="C535" s="8"/>
    </row>
    <row r="536">
      <c r="B536" s="16"/>
      <c r="C536" s="8"/>
    </row>
    <row r="537">
      <c r="B537" s="16"/>
      <c r="C537" s="8"/>
    </row>
    <row r="538">
      <c r="B538" s="16"/>
      <c r="C538" s="8"/>
    </row>
    <row r="539">
      <c r="B539" s="16"/>
      <c r="C539" s="8"/>
    </row>
    <row r="540">
      <c r="B540" s="16"/>
      <c r="C540" s="8"/>
    </row>
    <row r="541">
      <c r="B541" s="16"/>
      <c r="C541" s="8"/>
    </row>
    <row r="542">
      <c r="B542" s="16"/>
      <c r="C542" s="8"/>
    </row>
    <row r="543">
      <c r="B543" s="16"/>
      <c r="C543" s="8"/>
    </row>
    <row r="544">
      <c r="B544" s="16"/>
      <c r="C544" s="8"/>
    </row>
    <row r="545">
      <c r="B545" s="16"/>
      <c r="C545" s="8"/>
    </row>
    <row r="546">
      <c r="B546" s="16"/>
      <c r="C546" s="8"/>
    </row>
    <row r="547">
      <c r="B547" s="16"/>
      <c r="C547" s="8"/>
    </row>
    <row r="548">
      <c r="B548" s="16"/>
      <c r="C548" s="8"/>
    </row>
    <row r="549">
      <c r="B549" s="16"/>
      <c r="C549" s="8"/>
    </row>
    <row r="550">
      <c r="B550" s="16"/>
      <c r="C550" s="8"/>
    </row>
    <row r="551">
      <c r="B551" s="16"/>
      <c r="C551" s="8"/>
    </row>
    <row r="552">
      <c r="B552" s="16"/>
      <c r="C552" s="8"/>
    </row>
    <row r="553">
      <c r="B553" s="16"/>
      <c r="C553" s="8"/>
    </row>
    <row r="554">
      <c r="B554" s="16"/>
      <c r="C554" s="8"/>
    </row>
    <row r="555">
      <c r="B555" s="16"/>
      <c r="C555" s="8"/>
    </row>
    <row r="556">
      <c r="B556" s="16"/>
      <c r="C556" s="8"/>
    </row>
    <row r="557">
      <c r="B557" s="16"/>
      <c r="C557" s="8"/>
    </row>
    <row r="558">
      <c r="B558" s="16"/>
      <c r="C558" s="8"/>
    </row>
    <row r="559">
      <c r="B559" s="16"/>
      <c r="C559" s="8"/>
    </row>
    <row r="560">
      <c r="B560" s="16"/>
      <c r="C560" s="8"/>
    </row>
    <row r="561">
      <c r="B561" s="16"/>
      <c r="C561" s="8"/>
    </row>
    <row r="562">
      <c r="B562" s="16"/>
      <c r="C562" s="8"/>
    </row>
    <row r="563">
      <c r="B563" s="16"/>
      <c r="C563" s="8"/>
    </row>
    <row r="564">
      <c r="B564" s="16"/>
      <c r="C564" s="8"/>
    </row>
    <row r="565">
      <c r="B565" s="16"/>
      <c r="C565" s="8"/>
    </row>
    <row r="566">
      <c r="B566" s="16"/>
      <c r="C566" s="8"/>
    </row>
    <row r="567">
      <c r="B567" s="16"/>
      <c r="C567" s="8"/>
    </row>
    <row r="568">
      <c r="B568" s="16"/>
      <c r="C568" s="8"/>
    </row>
    <row r="569">
      <c r="B569" s="16"/>
      <c r="C569" s="8"/>
    </row>
    <row r="570">
      <c r="B570" s="16"/>
      <c r="C570" s="8"/>
    </row>
    <row r="571">
      <c r="B571" s="16"/>
      <c r="C571" s="8"/>
    </row>
    <row r="572">
      <c r="B572" s="16"/>
      <c r="C572" s="8"/>
    </row>
    <row r="573">
      <c r="B573" s="16"/>
      <c r="C573" s="8"/>
    </row>
    <row r="574">
      <c r="B574" s="16"/>
      <c r="C574" s="8"/>
    </row>
    <row r="575">
      <c r="B575" s="16"/>
      <c r="C575" s="8"/>
    </row>
    <row r="576">
      <c r="B576" s="16"/>
      <c r="C576" s="8"/>
    </row>
    <row r="577">
      <c r="B577" s="16"/>
      <c r="C577" s="8"/>
    </row>
    <row r="578">
      <c r="B578" s="16"/>
      <c r="C578" s="8"/>
    </row>
    <row r="579">
      <c r="B579" s="16"/>
      <c r="C579" s="8"/>
    </row>
    <row r="580">
      <c r="B580" s="16"/>
      <c r="C580" s="8"/>
    </row>
    <row r="581">
      <c r="B581" s="16"/>
      <c r="C581" s="8"/>
    </row>
    <row r="582">
      <c r="B582" s="16"/>
      <c r="C582" s="8"/>
    </row>
    <row r="583">
      <c r="B583" s="16"/>
      <c r="C583" s="8"/>
    </row>
    <row r="584">
      <c r="B584" s="16"/>
      <c r="C584" s="8"/>
    </row>
    <row r="585">
      <c r="B585" s="16"/>
      <c r="C585" s="8"/>
    </row>
    <row r="586">
      <c r="B586" s="16"/>
      <c r="C586" s="8"/>
    </row>
    <row r="587">
      <c r="B587" s="16"/>
      <c r="C587" s="8"/>
    </row>
    <row r="588">
      <c r="B588" s="16"/>
      <c r="C588" s="8"/>
    </row>
    <row r="589">
      <c r="B589" s="16"/>
      <c r="C589" s="8"/>
    </row>
    <row r="590">
      <c r="B590" s="16"/>
      <c r="C590" s="8"/>
    </row>
    <row r="591">
      <c r="B591" s="16"/>
      <c r="C591" s="8"/>
    </row>
    <row r="592">
      <c r="B592" s="16"/>
      <c r="C592" s="8"/>
    </row>
    <row r="593">
      <c r="B593" s="16"/>
      <c r="C593" s="8"/>
    </row>
    <row r="594">
      <c r="B594" s="16"/>
      <c r="C594" s="8"/>
    </row>
    <row r="595">
      <c r="B595" s="16"/>
      <c r="C595" s="8"/>
    </row>
    <row r="596">
      <c r="B596" s="16"/>
      <c r="C596" s="8"/>
    </row>
    <row r="597">
      <c r="B597" s="16"/>
      <c r="C597" s="8"/>
    </row>
    <row r="598">
      <c r="B598" s="16"/>
      <c r="C598" s="8"/>
    </row>
    <row r="599">
      <c r="B599" s="16"/>
      <c r="C599" s="8"/>
    </row>
    <row r="600">
      <c r="B600" s="16"/>
      <c r="C600" s="8"/>
    </row>
    <row r="601">
      <c r="B601" s="16"/>
      <c r="C601" s="8"/>
    </row>
    <row r="602">
      <c r="B602" s="16"/>
      <c r="C602" s="8"/>
    </row>
    <row r="603">
      <c r="B603" s="16"/>
      <c r="C603" s="8"/>
    </row>
    <row r="604">
      <c r="B604" s="16"/>
      <c r="C604" s="8"/>
    </row>
    <row r="605">
      <c r="B605" s="16"/>
      <c r="C605" s="8"/>
    </row>
    <row r="606">
      <c r="B606" s="16"/>
      <c r="C606" s="8"/>
    </row>
    <row r="607">
      <c r="B607" s="16"/>
      <c r="C607" s="8"/>
    </row>
    <row r="608">
      <c r="B608" s="16"/>
      <c r="C608" s="8"/>
    </row>
    <row r="609">
      <c r="B609" s="16"/>
      <c r="C609" s="8"/>
    </row>
    <row r="610">
      <c r="B610" s="16"/>
      <c r="C610" s="8"/>
    </row>
    <row r="611">
      <c r="B611" s="16"/>
      <c r="C611" s="8"/>
    </row>
    <row r="612">
      <c r="B612" s="16"/>
      <c r="C612" s="8"/>
    </row>
    <row r="613">
      <c r="B613" s="16"/>
      <c r="C613" s="8"/>
    </row>
    <row r="614">
      <c r="B614" s="16"/>
      <c r="C614" s="8"/>
    </row>
    <row r="615">
      <c r="B615" s="16"/>
      <c r="C615" s="8"/>
    </row>
    <row r="616">
      <c r="B616" s="16"/>
      <c r="C616" s="8"/>
    </row>
    <row r="617">
      <c r="B617" s="16"/>
      <c r="C617" s="8"/>
    </row>
    <row r="618">
      <c r="B618" s="16"/>
      <c r="C618" s="8"/>
    </row>
    <row r="619">
      <c r="B619" s="16"/>
      <c r="C619" s="8"/>
    </row>
    <row r="620">
      <c r="B620" s="16"/>
      <c r="C620" s="8"/>
    </row>
    <row r="621">
      <c r="B621" s="16"/>
      <c r="C621" s="8"/>
    </row>
    <row r="622">
      <c r="B622" s="16"/>
      <c r="C622" s="8"/>
    </row>
    <row r="623">
      <c r="B623" s="16"/>
      <c r="C623" s="8"/>
    </row>
    <row r="624">
      <c r="B624" s="16"/>
      <c r="C624" s="8"/>
    </row>
    <row r="625">
      <c r="B625" s="16"/>
      <c r="C625" s="8"/>
    </row>
    <row r="626">
      <c r="B626" s="16"/>
      <c r="C626" s="8"/>
    </row>
    <row r="627">
      <c r="B627" s="16"/>
      <c r="C627" s="8"/>
    </row>
    <row r="628">
      <c r="B628" s="16"/>
      <c r="C628" s="8"/>
    </row>
    <row r="629">
      <c r="B629" s="16"/>
      <c r="C629" s="8"/>
    </row>
    <row r="630">
      <c r="B630" s="16"/>
      <c r="C630" s="8"/>
    </row>
    <row r="631">
      <c r="B631" s="16"/>
      <c r="C631" s="8"/>
    </row>
    <row r="632">
      <c r="B632" s="16"/>
      <c r="C632" s="8"/>
    </row>
    <row r="633">
      <c r="B633" s="16"/>
      <c r="C633" s="8"/>
    </row>
    <row r="634">
      <c r="B634" s="16"/>
      <c r="C634" s="8"/>
    </row>
    <row r="635">
      <c r="B635" s="16"/>
      <c r="C635" s="8"/>
    </row>
    <row r="636">
      <c r="B636" s="16"/>
      <c r="C636" s="8"/>
    </row>
    <row r="637">
      <c r="B637" s="16"/>
      <c r="C637" s="8"/>
    </row>
    <row r="638">
      <c r="B638" s="16"/>
      <c r="C638" s="8"/>
    </row>
    <row r="639">
      <c r="B639" s="16"/>
      <c r="C639" s="8"/>
    </row>
    <row r="640">
      <c r="B640" s="16"/>
      <c r="C640" s="8"/>
    </row>
    <row r="641">
      <c r="B641" s="16"/>
      <c r="C641" s="8"/>
    </row>
    <row r="642">
      <c r="B642" s="16"/>
      <c r="C642" s="8"/>
    </row>
    <row r="643">
      <c r="B643" s="16"/>
      <c r="C643" s="8"/>
    </row>
    <row r="644">
      <c r="B644" s="16"/>
      <c r="C644" s="8"/>
    </row>
    <row r="645">
      <c r="B645" s="16"/>
      <c r="C645" s="8"/>
    </row>
    <row r="646">
      <c r="B646" s="16"/>
      <c r="C646" s="8"/>
    </row>
    <row r="647">
      <c r="B647" s="16"/>
      <c r="C647" s="8"/>
    </row>
    <row r="648">
      <c r="B648" s="16"/>
      <c r="C648" s="8"/>
    </row>
    <row r="649">
      <c r="B649" s="16"/>
      <c r="C649" s="8"/>
    </row>
    <row r="650">
      <c r="B650" s="16"/>
      <c r="C650" s="8"/>
    </row>
    <row r="651">
      <c r="B651" s="16"/>
      <c r="C651" s="8"/>
    </row>
    <row r="652">
      <c r="B652" s="16"/>
      <c r="C652" s="8"/>
    </row>
    <row r="653">
      <c r="B653" s="16"/>
      <c r="C653" s="8"/>
    </row>
    <row r="654">
      <c r="B654" s="16"/>
      <c r="C654" s="8"/>
    </row>
    <row r="655">
      <c r="B655" s="16"/>
      <c r="C655" s="8"/>
    </row>
    <row r="656">
      <c r="B656" s="16"/>
      <c r="C656" s="8"/>
    </row>
    <row r="657">
      <c r="B657" s="16"/>
      <c r="C657" s="8"/>
    </row>
    <row r="658">
      <c r="B658" s="16"/>
      <c r="C658" s="8"/>
    </row>
    <row r="659">
      <c r="B659" s="16"/>
      <c r="C659" s="8"/>
    </row>
    <row r="660">
      <c r="B660" s="16"/>
      <c r="C660" s="8"/>
    </row>
    <row r="661">
      <c r="B661" s="16"/>
      <c r="C661" s="8"/>
    </row>
    <row r="662">
      <c r="B662" s="16"/>
      <c r="C662" s="8"/>
    </row>
    <row r="663">
      <c r="B663" s="16"/>
      <c r="C663" s="8"/>
    </row>
    <row r="664">
      <c r="B664" s="16"/>
      <c r="C664" s="8"/>
    </row>
    <row r="665">
      <c r="B665" s="16"/>
      <c r="C665" s="8"/>
    </row>
    <row r="666">
      <c r="B666" s="16"/>
      <c r="C666" s="8"/>
    </row>
    <row r="667">
      <c r="B667" s="16"/>
      <c r="C667" s="8"/>
    </row>
    <row r="668">
      <c r="B668" s="16"/>
      <c r="C668" s="8"/>
    </row>
    <row r="669">
      <c r="B669" s="16"/>
      <c r="C669" s="8"/>
    </row>
    <row r="670">
      <c r="B670" s="16"/>
      <c r="C670" s="8"/>
    </row>
    <row r="671">
      <c r="B671" s="16"/>
      <c r="C671" s="8"/>
    </row>
    <row r="672">
      <c r="B672" s="16"/>
      <c r="C672" s="8"/>
    </row>
    <row r="673">
      <c r="B673" s="16"/>
      <c r="C673" s="8"/>
    </row>
    <row r="674">
      <c r="B674" s="16"/>
      <c r="C674" s="8"/>
    </row>
    <row r="675">
      <c r="B675" s="16"/>
      <c r="C675" s="8"/>
    </row>
    <row r="676">
      <c r="B676" s="16"/>
      <c r="C676" s="8"/>
    </row>
    <row r="677">
      <c r="B677" s="16"/>
      <c r="C677" s="8"/>
    </row>
    <row r="678">
      <c r="B678" s="16"/>
      <c r="C678" s="8"/>
    </row>
    <row r="679">
      <c r="B679" s="16"/>
      <c r="C679" s="8"/>
    </row>
    <row r="680">
      <c r="B680" s="16"/>
      <c r="C680" s="8"/>
    </row>
    <row r="681">
      <c r="B681" s="16"/>
      <c r="C681" s="8"/>
    </row>
    <row r="682">
      <c r="B682" s="16"/>
      <c r="C682" s="8"/>
    </row>
    <row r="683">
      <c r="B683" s="16"/>
      <c r="C683" s="8"/>
    </row>
    <row r="684">
      <c r="B684" s="16"/>
      <c r="C684" s="8"/>
    </row>
    <row r="685">
      <c r="B685" s="16"/>
      <c r="C685" s="8"/>
    </row>
    <row r="686">
      <c r="B686" s="16"/>
      <c r="C686" s="8"/>
    </row>
    <row r="687">
      <c r="B687" s="16"/>
      <c r="C687" s="8"/>
    </row>
    <row r="688">
      <c r="B688" s="16"/>
      <c r="C688" s="8"/>
    </row>
    <row r="689">
      <c r="B689" s="16"/>
      <c r="C689" s="8"/>
    </row>
    <row r="690">
      <c r="B690" s="16"/>
      <c r="C690" s="8"/>
    </row>
    <row r="691">
      <c r="B691" s="16"/>
      <c r="C691" s="8"/>
    </row>
    <row r="692">
      <c r="B692" s="16"/>
      <c r="C692" s="8"/>
    </row>
    <row r="693">
      <c r="B693" s="16"/>
      <c r="C693" s="8"/>
    </row>
    <row r="694">
      <c r="B694" s="16"/>
      <c r="C694" s="8"/>
    </row>
    <row r="695">
      <c r="B695" s="16"/>
      <c r="C695" s="8"/>
    </row>
    <row r="696">
      <c r="B696" s="16"/>
      <c r="C696" s="8"/>
    </row>
    <row r="697">
      <c r="B697" s="16"/>
      <c r="C697" s="8"/>
    </row>
    <row r="698">
      <c r="B698" s="16"/>
      <c r="C698" s="8"/>
    </row>
    <row r="699">
      <c r="B699" s="16"/>
      <c r="C699" s="8"/>
    </row>
    <row r="700">
      <c r="B700" s="16"/>
      <c r="C700" s="8"/>
    </row>
    <row r="701">
      <c r="B701" s="16"/>
      <c r="C701" s="8"/>
    </row>
    <row r="702">
      <c r="B702" s="16"/>
      <c r="C702" s="8"/>
    </row>
    <row r="703">
      <c r="B703" s="16"/>
      <c r="C703" s="8"/>
    </row>
    <row r="704">
      <c r="B704" s="16"/>
      <c r="C704" s="8"/>
    </row>
    <row r="705">
      <c r="B705" s="16"/>
      <c r="C705" s="8"/>
    </row>
    <row r="706">
      <c r="B706" s="16"/>
      <c r="C706" s="8"/>
    </row>
    <row r="707">
      <c r="B707" s="16"/>
      <c r="C707" s="8"/>
    </row>
    <row r="708">
      <c r="B708" s="16"/>
      <c r="C708" s="8"/>
    </row>
    <row r="709">
      <c r="B709" s="16"/>
      <c r="C709" s="8"/>
    </row>
    <row r="710">
      <c r="B710" s="16"/>
      <c r="C710" s="8"/>
    </row>
    <row r="711">
      <c r="B711" s="16"/>
      <c r="C711" s="8"/>
    </row>
    <row r="712">
      <c r="B712" s="16"/>
      <c r="C712" s="8"/>
    </row>
    <row r="713">
      <c r="B713" s="16"/>
      <c r="C713" s="8"/>
    </row>
    <row r="714">
      <c r="B714" s="16"/>
      <c r="C714" s="8"/>
    </row>
    <row r="715">
      <c r="B715" s="16"/>
      <c r="C715" s="8"/>
    </row>
    <row r="716">
      <c r="B716" s="16"/>
      <c r="C716" s="8"/>
    </row>
    <row r="717">
      <c r="B717" s="16"/>
      <c r="C717" s="8"/>
    </row>
    <row r="718">
      <c r="B718" s="16"/>
      <c r="C718" s="8"/>
    </row>
    <row r="719">
      <c r="B719" s="16"/>
      <c r="C719" s="8"/>
    </row>
    <row r="720">
      <c r="B720" s="16"/>
      <c r="C720" s="8"/>
    </row>
    <row r="721">
      <c r="B721" s="16"/>
      <c r="C721" s="8"/>
    </row>
    <row r="722">
      <c r="B722" s="16"/>
      <c r="C722" s="8"/>
    </row>
    <row r="723">
      <c r="B723" s="16"/>
      <c r="C723" s="8"/>
    </row>
    <row r="724">
      <c r="B724" s="16"/>
      <c r="C724" s="8"/>
    </row>
    <row r="725">
      <c r="B725" s="16"/>
      <c r="C725" s="8"/>
    </row>
    <row r="726">
      <c r="B726" s="16"/>
      <c r="C726" s="8"/>
    </row>
    <row r="727">
      <c r="B727" s="16"/>
      <c r="C727" s="8"/>
    </row>
    <row r="728">
      <c r="B728" s="16"/>
      <c r="C728" s="8"/>
    </row>
    <row r="729">
      <c r="B729" s="16"/>
      <c r="C729" s="8"/>
    </row>
    <row r="730">
      <c r="B730" s="16"/>
      <c r="C730" s="8"/>
    </row>
    <row r="731">
      <c r="B731" s="16"/>
      <c r="C731" s="8"/>
    </row>
    <row r="732">
      <c r="B732" s="16"/>
      <c r="C732" s="8"/>
    </row>
    <row r="733">
      <c r="B733" s="16"/>
      <c r="C733" s="8"/>
    </row>
    <row r="734">
      <c r="B734" s="16"/>
      <c r="C734" s="8"/>
    </row>
    <row r="735">
      <c r="B735" s="16"/>
      <c r="C735" s="8"/>
    </row>
    <row r="736">
      <c r="B736" s="16"/>
      <c r="C736" s="8"/>
    </row>
    <row r="737">
      <c r="B737" s="16"/>
      <c r="C737" s="8"/>
    </row>
    <row r="738">
      <c r="B738" s="16"/>
      <c r="C738" s="8"/>
    </row>
    <row r="739">
      <c r="B739" s="16"/>
      <c r="C739" s="8"/>
    </row>
    <row r="740">
      <c r="B740" s="16"/>
      <c r="C740" s="8"/>
    </row>
    <row r="741">
      <c r="B741" s="16"/>
      <c r="C741" s="8"/>
    </row>
    <row r="742">
      <c r="B742" s="16"/>
      <c r="C742" s="8"/>
    </row>
    <row r="743">
      <c r="B743" s="16"/>
      <c r="C743" s="8"/>
    </row>
    <row r="744">
      <c r="B744" s="16"/>
      <c r="C744" s="8"/>
    </row>
    <row r="745">
      <c r="B745" s="16"/>
      <c r="C745" s="8"/>
    </row>
    <row r="746">
      <c r="B746" s="16"/>
      <c r="C746" s="8"/>
    </row>
    <row r="747">
      <c r="B747" s="16"/>
      <c r="C747" s="8"/>
    </row>
    <row r="748">
      <c r="B748" s="16"/>
      <c r="C748" s="8"/>
    </row>
    <row r="749">
      <c r="B749" s="16"/>
      <c r="C749" s="8"/>
    </row>
    <row r="750">
      <c r="B750" s="16"/>
      <c r="C750" s="8"/>
    </row>
    <row r="751">
      <c r="B751" s="16"/>
      <c r="C751" s="8"/>
    </row>
    <row r="752">
      <c r="B752" s="16"/>
      <c r="C752" s="8"/>
    </row>
    <row r="753">
      <c r="B753" s="16"/>
      <c r="C753" s="8"/>
    </row>
    <row r="754">
      <c r="B754" s="16"/>
      <c r="C754" s="8"/>
    </row>
    <row r="755">
      <c r="B755" s="16"/>
      <c r="C755" s="8"/>
    </row>
    <row r="756">
      <c r="B756" s="16"/>
      <c r="C756" s="8"/>
    </row>
    <row r="757">
      <c r="B757" s="16"/>
      <c r="C757" s="8"/>
    </row>
    <row r="758">
      <c r="B758" s="16"/>
      <c r="C758" s="8"/>
    </row>
    <row r="759">
      <c r="B759" s="16"/>
      <c r="C759" s="8"/>
    </row>
    <row r="760">
      <c r="B760" s="16"/>
      <c r="C760" s="8"/>
    </row>
    <row r="761">
      <c r="B761" s="16"/>
      <c r="C761" s="8"/>
    </row>
    <row r="762">
      <c r="B762" s="16"/>
      <c r="C762" s="8"/>
    </row>
    <row r="763">
      <c r="B763" s="16"/>
      <c r="C763" s="8"/>
    </row>
    <row r="764">
      <c r="B764" s="16"/>
      <c r="C764" s="8"/>
    </row>
    <row r="765">
      <c r="B765" s="16"/>
      <c r="C765" s="8"/>
    </row>
    <row r="766">
      <c r="B766" s="16"/>
      <c r="C766" s="8"/>
    </row>
    <row r="767">
      <c r="B767" s="16"/>
      <c r="C767" s="8"/>
    </row>
    <row r="768">
      <c r="B768" s="16"/>
      <c r="C768" s="8"/>
    </row>
    <row r="769">
      <c r="B769" s="16"/>
      <c r="C769" s="8"/>
    </row>
    <row r="770">
      <c r="B770" s="16"/>
      <c r="C770" s="8"/>
    </row>
    <row r="771">
      <c r="B771" s="16"/>
      <c r="C771" s="8"/>
    </row>
    <row r="772">
      <c r="B772" s="16"/>
      <c r="C772" s="8"/>
    </row>
    <row r="773">
      <c r="B773" s="16"/>
      <c r="C773" s="8"/>
    </row>
    <row r="774">
      <c r="B774" s="16"/>
      <c r="C774" s="8"/>
    </row>
    <row r="775">
      <c r="B775" s="16"/>
      <c r="C775" s="8"/>
    </row>
    <row r="776">
      <c r="B776" s="16"/>
      <c r="C776" s="8"/>
    </row>
    <row r="777">
      <c r="B777" s="16"/>
      <c r="C777" s="8"/>
    </row>
    <row r="778">
      <c r="B778" s="16"/>
      <c r="C778" s="8"/>
    </row>
    <row r="779">
      <c r="B779" s="16"/>
      <c r="C779" s="8"/>
    </row>
    <row r="780">
      <c r="B780" s="16"/>
      <c r="C780" s="8"/>
    </row>
    <row r="781">
      <c r="B781" s="16"/>
      <c r="C781" s="8"/>
    </row>
    <row r="782">
      <c r="B782" s="16"/>
      <c r="C782" s="8"/>
    </row>
    <row r="783">
      <c r="B783" s="16"/>
      <c r="C783" s="8"/>
    </row>
    <row r="784">
      <c r="B784" s="16"/>
      <c r="C784" s="8"/>
    </row>
    <row r="785">
      <c r="B785" s="16"/>
      <c r="C785" s="8"/>
    </row>
    <row r="786">
      <c r="B786" s="16"/>
      <c r="C786" s="8"/>
    </row>
    <row r="787">
      <c r="B787" s="16"/>
      <c r="C787" s="8"/>
    </row>
    <row r="788">
      <c r="B788" s="16"/>
      <c r="C788" s="8"/>
    </row>
    <row r="789">
      <c r="B789" s="16"/>
      <c r="C789" s="8"/>
    </row>
    <row r="790">
      <c r="B790" s="16"/>
      <c r="C790" s="8"/>
    </row>
    <row r="791">
      <c r="B791" s="16"/>
      <c r="C791" s="8"/>
    </row>
    <row r="792">
      <c r="B792" s="16"/>
      <c r="C792" s="8"/>
    </row>
    <row r="793">
      <c r="B793" s="16"/>
      <c r="C793" s="8"/>
    </row>
    <row r="794">
      <c r="B794" s="16"/>
      <c r="C794" s="8"/>
    </row>
    <row r="795">
      <c r="B795" s="16"/>
      <c r="C795" s="8"/>
    </row>
    <row r="796">
      <c r="B796" s="16"/>
      <c r="C796" s="8"/>
    </row>
    <row r="797">
      <c r="B797" s="16"/>
      <c r="C797" s="8"/>
    </row>
    <row r="798">
      <c r="B798" s="16"/>
      <c r="C798" s="8"/>
    </row>
    <row r="799">
      <c r="B799" s="16"/>
      <c r="C799" s="8"/>
    </row>
    <row r="800">
      <c r="B800" s="16"/>
      <c r="C800" s="8"/>
    </row>
    <row r="801">
      <c r="B801" s="16"/>
      <c r="C801" s="8"/>
    </row>
    <row r="802">
      <c r="B802" s="16"/>
      <c r="C802" s="8"/>
    </row>
    <row r="803">
      <c r="B803" s="16"/>
      <c r="C803" s="8"/>
    </row>
    <row r="804">
      <c r="B804" s="16"/>
      <c r="C804" s="8"/>
    </row>
    <row r="805">
      <c r="B805" s="16"/>
      <c r="C805" s="8"/>
    </row>
    <row r="806">
      <c r="B806" s="16"/>
      <c r="C806" s="8"/>
    </row>
    <row r="807">
      <c r="B807" s="16"/>
      <c r="C807" s="8"/>
    </row>
    <row r="808">
      <c r="B808" s="16"/>
      <c r="C808" s="8"/>
    </row>
    <row r="809">
      <c r="B809" s="16"/>
      <c r="C809" s="8"/>
    </row>
    <row r="810">
      <c r="B810" s="16"/>
      <c r="C810" s="8"/>
    </row>
    <row r="811">
      <c r="B811" s="16"/>
      <c r="C811" s="8"/>
    </row>
    <row r="812">
      <c r="B812" s="16"/>
      <c r="C812" s="8"/>
    </row>
    <row r="813">
      <c r="B813" s="16"/>
      <c r="C813" s="8"/>
    </row>
    <row r="814">
      <c r="B814" s="16"/>
      <c r="C814" s="8"/>
    </row>
    <row r="815">
      <c r="B815" s="16"/>
      <c r="C815" s="8"/>
    </row>
    <row r="816">
      <c r="B816" s="16"/>
      <c r="C816" s="8"/>
    </row>
    <row r="817">
      <c r="B817" s="16"/>
      <c r="C817" s="8"/>
    </row>
    <row r="818">
      <c r="B818" s="16"/>
      <c r="C818" s="8"/>
    </row>
    <row r="819">
      <c r="B819" s="16"/>
      <c r="C819" s="8"/>
    </row>
    <row r="820">
      <c r="B820" s="16"/>
      <c r="C820" s="8"/>
    </row>
    <row r="821">
      <c r="B821" s="16"/>
      <c r="C821" s="8"/>
    </row>
    <row r="822">
      <c r="B822" s="16"/>
      <c r="C822" s="8"/>
    </row>
    <row r="823">
      <c r="B823" s="16"/>
      <c r="C823" s="8"/>
    </row>
    <row r="824">
      <c r="B824" s="16"/>
      <c r="C824" s="8"/>
    </row>
    <row r="825">
      <c r="B825" s="16"/>
      <c r="C825" s="8"/>
    </row>
    <row r="826">
      <c r="B826" s="16"/>
      <c r="C826" s="8"/>
    </row>
    <row r="827">
      <c r="B827" s="16"/>
      <c r="C827" s="8"/>
    </row>
    <row r="828">
      <c r="B828" s="16"/>
      <c r="C828" s="8"/>
    </row>
    <row r="829">
      <c r="B829" s="16"/>
      <c r="C829" s="8"/>
    </row>
    <row r="830">
      <c r="B830" s="16"/>
      <c r="C830" s="8"/>
    </row>
    <row r="831">
      <c r="B831" s="16"/>
      <c r="C831" s="8"/>
    </row>
    <row r="832">
      <c r="B832" s="16"/>
      <c r="C832" s="8"/>
    </row>
    <row r="833">
      <c r="B833" s="16"/>
      <c r="C833" s="8"/>
    </row>
    <row r="834">
      <c r="B834" s="16"/>
      <c r="C834" s="8"/>
    </row>
    <row r="835">
      <c r="B835" s="16"/>
      <c r="C835" s="8"/>
    </row>
    <row r="836">
      <c r="B836" s="16"/>
      <c r="C836" s="8"/>
    </row>
    <row r="837">
      <c r="B837" s="16"/>
      <c r="C837" s="8"/>
    </row>
    <row r="838">
      <c r="B838" s="16"/>
      <c r="C838" s="8"/>
    </row>
    <row r="839">
      <c r="B839" s="16"/>
      <c r="C839" s="8"/>
    </row>
    <row r="840">
      <c r="B840" s="16"/>
      <c r="C840" s="8"/>
    </row>
    <row r="841">
      <c r="B841" s="16"/>
      <c r="C841" s="8"/>
    </row>
    <row r="842">
      <c r="B842" s="16"/>
      <c r="C842" s="8"/>
    </row>
    <row r="843">
      <c r="B843" s="16"/>
      <c r="C843" s="8"/>
    </row>
    <row r="844">
      <c r="B844" s="16"/>
      <c r="C844" s="8"/>
    </row>
    <row r="845">
      <c r="B845" s="16"/>
      <c r="C845" s="8"/>
    </row>
    <row r="846">
      <c r="B846" s="16"/>
      <c r="C846" s="8"/>
    </row>
    <row r="847">
      <c r="B847" s="16"/>
      <c r="C847" s="8"/>
    </row>
    <row r="848">
      <c r="B848" s="16"/>
      <c r="C848" s="8"/>
    </row>
    <row r="849">
      <c r="B849" s="16"/>
      <c r="C849" s="8"/>
    </row>
    <row r="850">
      <c r="B850" s="16"/>
      <c r="C850" s="8"/>
    </row>
    <row r="851">
      <c r="B851" s="16"/>
      <c r="C851" s="8"/>
    </row>
    <row r="852">
      <c r="B852" s="16"/>
      <c r="C852" s="8"/>
    </row>
    <row r="853">
      <c r="B853" s="16"/>
      <c r="C853" s="8"/>
    </row>
    <row r="854">
      <c r="B854" s="16"/>
      <c r="C854" s="8"/>
    </row>
    <row r="855">
      <c r="B855" s="16"/>
      <c r="C855" s="8"/>
    </row>
    <row r="856">
      <c r="B856" s="16"/>
      <c r="C856" s="8"/>
    </row>
    <row r="857">
      <c r="B857" s="16"/>
      <c r="C857" s="8"/>
    </row>
    <row r="858">
      <c r="B858" s="16"/>
      <c r="C858" s="8"/>
    </row>
    <row r="859">
      <c r="B859" s="16"/>
      <c r="C859" s="8"/>
    </row>
    <row r="860">
      <c r="B860" s="16"/>
      <c r="C860" s="8"/>
    </row>
    <row r="861">
      <c r="B861" s="16"/>
      <c r="C861" s="8"/>
    </row>
    <row r="862">
      <c r="B862" s="16"/>
      <c r="C862" s="8"/>
    </row>
    <row r="863">
      <c r="B863" s="16"/>
      <c r="C863" s="8"/>
    </row>
    <row r="864">
      <c r="B864" s="16"/>
      <c r="C864" s="8"/>
    </row>
    <row r="865">
      <c r="B865" s="16"/>
      <c r="C865" s="8"/>
    </row>
    <row r="866">
      <c r="B866" s="16"/>
      <c r="C866" s="8"/>
    </row>
    <row r="867">
      <c r="B867" s="16"/>
      <c r="C867" s="8"/>
    </row>
    <row r="868">
      <c r="B868" s="16"/>
      <c r="C868" s="8"/>
    </row>
    <row r="869">
      <c r="B869" s="16"/>
      <c r="C869" s="8"/>
    </row>
    <row r="870">
      <c r="B870" s="16"/>
      <c r="C870" s="8"/>
    </row>
    <row r="871">
      <c r="B871" s="16"/>
      <c r="C871" s="8"/>
    </row>
    <row r="872">
      <c r="B872" s="16"/>
      <c r="C872" s="8"/>
    </row>
    <row r="873">
      <c r="B873" s="16"/>
      <c r="C873" s="8"/>
    </row>
    <row r="874">
      <c r="B874" s="16"/>
      <c r="C874" s="8"/>
    </row>
    <row r="875">
      <c r="B875" s="16"/>
      <c r="C875" s="8"/>
    </row>
    <row r="876">
      <c r="B876" s="16"/>
      <c r="C876" s="8"/>
    </row>
    <row r="877">
      <c r="B877" s="16"/>
      <c r="C877" s="8"/>
    </row>
    <row r="878">
      <c r="B878" s="16"/>
      <c r="C878" s="8"/>
    </row>
    <row r="879">
      <c r="B879" s="16"/>
      <c r="C879" s="8"/>
    </row>
    <row r="880">
      <c r="B880" s="16"/>
      <c r="C880" s="8"/>
    </row>
    <row r="881">
      <c r="B881" s="16"/>
      <c r="C881" s="8"/>
    </row>
    <row r="882">
      <c r="B882" s="16"/>
      <c r="C882" s="8"/>
    </row>
    <row r="883">
      <c r="B883" s="16"/>
      <c r="C883" s="8"/>
    </row>
    <row r="884">
      <c r="B884" s="16"/>
      <c r="C884" s="8"/>
    </row>
    <row r="885">
      <c r="B885" s="16"/>
      <c r="C885" s="8"/>
    </row>
    <row r="886">
      <c r="B886" s="16"/>
      <c r="C886" s="8"/>
    </row>
    <row r="887">
      <c r="B887" s="16"/>
      <c r="C887" s="8"/>
    </row>
    <row r="888">
      <c r="B888" s="16"/>
      <c r="C888" s="8"/>
    </row>
    <row r="889">
      <c r="B889" s="16"/>
      <c r="C889" s="8"/>
    </row>
    <row r="890">
      <c r="B890" s="16"/>
      <c r="C890" s="8"/>
    </row>
    <row r="891">
      <c r="B891" s="16"/>
      <c r="C891" s="8"/>
    </row>
    <row r="892">
      <c r="B892" s="16"/>
      <c r="C892" s="8"/>
    </row>
    <row r="893">
      <c r="B893" s="16"/>
      <c r="C893" s="8"/>
    </row>
    <row r="894">
      <c r="B894" s="16"/>
      <c r="C894" s="8"/>
    </row>
    <row r="895">
      <c r="B895" s="16"/>
      <c r="C895" s="8"/>
    </row>
    <row r="896">
      <c r="B896" s="16"/>
      <c r="C896" s="8"/>
    </row>
    <row r="897">
      <c r="B897" s="16"/>
      <c r="C897" s="8"/>
    </row>
    <row r="898">
      <c r="B898" s="16"/>
      <c r="C898" s="8"/>
    </row>
    <row r="899">
      <c r="B899" s="16"/>
      <c r="C899" s="8"/>
    </row>
    <row r="900">
      <c r="B900" s="16"/>
      <c r="C900" s="8"/>
    </row>
    <row r="901">
      <c r="B901" s="16"/>
      <c r="C901" s="8"/>
    </row>
    <row r="902">
      <c r="B902" s="16"/>
      <c r="C902" s="8"/>
    </row>
    <row r="903">
      <c r="B903" s="16"/>
      <c r="C903" s="8"/>
    </row>
    <row r="904">
      <c r="B904" s="16"/>
      <c r="C904" s="8"/>
    </row>
    <row r="905">
      <c r="B905" s="16"/>
      <c r="C905" s="8"/>
    </row>
    <row r="906">
      <c r="B906" s="16"/>
      <c r="C906" s="8"/>
    </row>
    <row r="907">
      <c r="B907" s="16"/>
      <c r="C907" s="8"/>
    </row>
    <row r="908">
      <c r="B908" s="16"/>
      <c r="C908" s="8"/>
    </row>
    <row r="909">
      <c r="B909" s="16"/>
      <c r="C909" s="8"/>
    </row>
    <row r="910">
      <c r="B910" s="16"/>
      <c r="C910" s="8"/>
    </row>
    <row r="911">
      <c r="B911" s="16"/>
      <c r="C911" s="8"/>
    </row>
    <row r="912">
      <c r="B912" s="16"/>
      <c r="C912" s="8"/>
    </row>
    <row r="913">
      <c r="B913" s="16"/>
      <c r="C913" s="8"/>
    </row>
    <row r="914">
      <c r="B914" s="16"/>
      <c r="C914" s="8"/>
    </row>
    <row r="915">
      <c r="B915" s="16"/>
      <c r="C915" s="8"/>
    </row>
    <row r="916">
      <c r="B916" s="16"/>
      <c r="C916" s="8"/>
    </row>
    <row r="917">
      <c r="B917" s="16"/>
      <c r="C917" s="8"/>
    </row>
    <row r="918">
      <c r="B918" s="16"/>
      <c r="C918" s="8"/>
    </row>
    <row r="919">
      <c r="B919" s="16"/>
      <c r="C919" s="8"/>
    </row>
    <row r="920">
      <c r="B920" s="16"/>
      <c r="C920" s="8"/>
    </row>
    <row r="921">
      <c r="B921" s="16"/>
      <c r="C921" s="8"/>
    </row>
    <row r="922">
      <c r="B922" s="16"/>
      <c r="C922" s="8"/>
    </row>
    <row r="923">
      <c r="B923" s="16"/>
      <c r="C923" s="8"/>
    </row>
    <row r="924">
      <c r="B924" s="16"/>
      <c r="C924" s="8"/>
    </row>
    <row r="925">
      <c r="B925" s="16"/>
      <c r="C925" s="8"/>
    </row>
    <row r="926">
      <c r="B926" s="16"/>
      <c r="C926" s="8"/>
    </row>
    <row r="927">
      <c r="B927" s="16"/>
      <c r="C927" s="8"/>
    </row>
    <row r="928">
      <c r="B928" s="16"/>
      <c r="C928" s="8"/>
    </row>
    <row r="929">
      <c r="B929" s="16"/>
      <c r="C929" s="8"/>
    </row>
    <row r="930">
      <c r="B930" s="16"/>
      <c r="C930" s="8"/>
    </row>
    <row r="931">
      <c r="B931" s="16"/>
      <c r="C931" s="8"/>
    </row>
    <row r="932">
      <c r="B932" s="16"/>
      <c r="C932" s="8"/>
    </row>
    <row r="933">
      <c r="B933" s="16"/>
      <c r="C933" s="8"/>
    </row>
    <row r="934">
      <c r="B934" s="16"/>
      <c r="C934" s="8"/>
    </row>
    <row r="935">
      <c r="B935" s="16"/>
      <c r="C935" s="8"/>
    </row>
    <row r="936">
      <c r="B936" s="16"/>
      <c r="C936" s="8"/>
    </row>
    <row r="937">
      <c r="B937" s="16"/>
      <c r="C937" s="8"/>
    </row>
    <row r="938">
      <c r="B938" s="16"/>
      <c r="C938" s="8"/>
    </row>
    <row r="939">
      <c r="B939" s="16"/>
      <c r="C939" s="8"/>
    </row>
    <row r="940">
      <c r="B940" s="16"/>
      <c r="C940" s="8"/>
    </row>
    <row r="941">
      <c r="B941" s="16"/>
      <c r="C941" s="8"/>
    </row>
    <row r="942">
      <c r="B942" s="16"/>
      <c r="C942" s="8"/>
    </row>
    <row r="943">
      <c r="B943" s="16"/>
      <c r="C943" s="8"/>
    </row>
    <row r="944">
      <c r="B944" s="16"/>
      <c r="C944" s="8"/>
    </row>
    <row r="945">
      <c r="B945" s="16"/>
      <c r="C945" s="8"/>
    </row>
    <row r="946">
      <c r="B946" s="16"/>
      <c r="C946" s="8"/>
    </row>
    <row r="947">
      <c r="B947" s="16"/>
      <c r="C947" s="8"/>
    </row>
    <row r="948">
      <c r="B948" s="16"/>
      <c r="C948" s="8"/>
    </row>
    <row r="949">
      <c r="B949" s="16"/>
      <c r="C949" s="8"/>
    </row>
    <row r="950">
      <c r="B950" s="16"/>
      <c r="C950" s="8"/>
    </row>
    <row r="951">
      <c r="B951" s="16"/>
      <c r="C951" s="8"/>
    </row>
    <row r="952">
      <c r="B952" s="16"/>
      <c r="C952" s="8"/>
    </row>
    <row r="953">
      <c r="B953" s="16"/>
      <c r="C953" s="8"/>
    </row>
    <row r="954">
      <c r="B954" s="16"/>
      <c r="C954" s="8"/>
    </row>
    <row r="955">
      <c r="B955" s="16"/>
      <c r="C955" s="8"/>
    </row>
    <row r="956">
      <c r="B956" s="16"/>
      <c r="C956" s="8"/>
    </row>
    <row r="957">
      <c r="B957" s="16"/>
      <c r="C957" s="8"/>
    </row>
    <row r="958">
      <c r="B958" s="16"/>
      <c r="C958" s="8"/>
    </row>
    <row r="959">
      <c r="B959" s="16"/>
      <c r="C959" s="8"/>
    </row>
    <row r="960">
      <c r="B960" s="16"/>
      <c r="C960" s="8"/>
    </row>
    <row r="961">
      <c r="B961" s="16"/>
      <c r="C961" s="8"/>
    </row>
    <row r="962">
      <c r="B962" s="16"/>
      <c r="C962" s="8"/>
    </row>
    <row r="963">
      <c r="B963" s="16"/>
      <c r="C963" s="8"/>
    </row>
    <row r="964">
      <c r="B964" s="16"/>
      <c r="C964" s="8"/>
    </row>
    <row r="965">
      <c r="B965" s="16"/>
      <c r="C965" s="8"/>
    </row>
    <row r="966">
      <c r="B966" s="16"/>
      <c r="C966" s="8"/>
    </row>
    <row r="967">
      <c r="B967" s="16"/>
      <c r="C967" s="8"/>
    </row>
    <row r="968">
      <c r="B968" s="16"/>
      <c r="C968" s="8"/>
    </row>
    <row r="969">
      <c r="B969" s="16"/>
      <c r="C969" s="8"/>
    </row>
    <row r="970">
      <c r="B970" s="16"/>
      <c r="C970" s="8"/>
    </row>
    <row r="971">
      <c r="B971" s="16"/>
      <c r="C971" s="8"/>
    </row>
    <row r="972">
      <c r="B972" s="16"/>
      <c r="C972" s="8"/>
    </row>
    <row r="973">
      <c r="B973" s="16"/>
      <c r="C973" s="8"/>
    </row>
    <row r="974">
      <c r="B974" s="16"/>
      <c r="C974" s="8"/>
    </row>
    <row r="975">
      <c r="B975" s="16"/>
      <c r="C975" s="8"/>
    </row>
    <row r="976">
      <c r="B976" s="16"/>
      <c r="C976" s="8"/>
    </row>
    <row r="977">
      <c r="B977" s="16"/>
      <c r="C977" s="8"/>
    </row>
    <row r="978">
      <c r="B978" s="16"/>
      <c r="C978" s="8"/>
    </row>
    <row r="979">
      <c r="B979" s="16"/>
      <c r="C979" s="8"/>
    </row>
    <row r="980">
      <c r="B980" s="16"/>
      <c r="C980" s="8"/>
    </row>
    <row r="981">
      <c r="B981" s="16"/>
      <c r="C981" s="8"/>
    </row>
    <row r="982">
      <c r="B982" s="16"/>
      <c r="C982" s="8"/>
    </row>
    <row r="983">
      <c r="B983" s="16"/>
      <c r="C983" s="8"/>
    </row>
    <row r="984">
      <c r="B984" s="16"/>
      <c r="C984" s="8"/>
    </row>
    <row r="985">
      <c r="B985" s="16"/>
      <c r="C985" s="8"/>
    </row>
    <row r="986">
      <c r="B986" s="16"/>
      <c r="C986" s="8"/>
    </row>
    <row r="987">
      <c r="B987" s="16"/>
      <c r="C987" s="8"/>
    </row>
    <row r="988">
      <c r="B988" s="16"/>
      <c r="C988" s="8"/>
    </row>
    <row r="989">
      <c r="B989" s="16"/>
      <c r="C989" s="8"/>
    </row>
    <row r="990">
      <c r="B990" s="16"/>
      <c r="C990" s="8"/>
    </row>
    <row r="991">
      <c r="B991" s="16"/>
      <c r="C991" s="8"/>
    </row>
    <row r="992">
      <c r="B992" s="16"/>
      <c r="C992" s="8"/>
    </row>
    <row r="993">
      <c r="B993" s="16"/>
      <c r="C993" s="8"/>
    </row>
    <row r="994">
      <c r="B994" s="16"/>
      <c r="C994" s="8"/>
    </row>
    <row r="995">
      <c r="B995" s="16"/>
      <c r="C995" s="8"/>
    </row>
    <row r="996">
      <c r="B996" s="16"/>
      <c r="C996" s="8"/>
    </row>
    <row r="997">
      <c r="B997" s="16"/>
      <c r="C997" s="8"/>
    </row>
    <row r="998">
      <c r="B998" s="16"/>
      <c r="C998" s="8"/>
    </row>
    <row r="999">
      <c r="B999" s="16"/>
      <c r="C999" s="8"/>
    </row>
    <row r="1000">
      <c r="B1000" s="16"/>
      <c r="C1000" s="8"/>
    </row>
    <row r="1001">
      <c r="B1001" s="16"/>
      <c r="C1001" s="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21</v>
      </c>
      <c r="C1" s="8"/>
      <c r="D1" s="17"/>
      <c r="E1" s="1">
        <v>2014.0</v>
      </c>
      <c r="F1" s="1">
        <v>2015.0</v>
      </c>
      <c r="G1" s="1">
        <v>2016.0</v>
      </c>
      <c r="H1" s="1">
        <v>2017.0</v>
      </c>
      <c r="I1" s="1">
        <v>2018.0</v>
      </c>
      <c r="J1" s="1">
        <v>2019.0</v>
      </c>
      <c r="K1" s="1">
        <v>2020.0</v>
      </c>
      <c r="L1" s="1">
        <v>2021.0</v>
      </c>
      <c r="M1" s="1">
        <v>2022.0</v>
      </c>
      <c r="N1" s="1">
        <v>2023.0</v>
      </c>
      <c r="O1" s="1">
        <v>2024.0</v>
      </c>
    </row>
    <row r="2">
      <c r="A2" s="2">
        <v>41640.0</v>
      </c>
      <c r="B2" s="18">
        <f>IFERROR(__xludf.DUMMYFUNCTION("FLATTEN({E14:E17; F14:F17; G14:G17; H14:H17; I14:I17; J14:J17; K14:K17; L14:L17; M14:M17; N14:N17; O14:O17})
"),3.6)</f>
        <v>3.6</v>
      </c>
      <c r="C2" s="19"/>
      <c r="D2" s="15" t="s">
        <v>9</v>
      </c>
      <c r="E2" s="20">
        <v>3.7</v>
      </c>
      <c r="F2" s="20">
        <v>1.5</v>
      </c>
      <c r="G2" s="20">
        <v>0.7</v>
      </c>
      <c r="H2" s="20">
        <v>2.5</v>
      </c>
      <c r="I2" s="20">
        <v>3.4</v>
      </c>
      <c r="J2" s="20">
        <v>4.4</v>
      </c>
      <c r="K2" s="20">
        <v>3.0</v>
      </c>
      <c r="L2" s="20">
        <v>3.7</v>
      </c>
      <c r="M2" s="20">
        <v>3.0</v>
      </c>
      <c r="N2" s="20">
        <v>8.7</v>
      </c>
      <c r="O2" s="20">
        <v>2.8</v>
      </c>
    </row>
    <row r="3">
      <c r="A3" s="2">
        <v>41730.0</v>
      </c>
      <c r="B3" s="18">
        <f>IFERROR(__xludf.DUMMYFUNCTION("""COMPUTED_VALUE"""),3.7999999999999994)</f>
        <v>3.8</v>
      </c>
      <c r="C3" s="8"/>
      <c r="D3" s="17" t="s">
        <v>10</v>
      </c>
      <c r="E3" s="20">
        <v>3.6</v>
      </c>
      <c r="F3" s="20">
        <v>1.5</v>
      </c>
      <c r="G3" s="20">
        <v>0.5</v>
      </c>
      <c r="H3" s="20">
        <v>3.1</v>
      </c>
      <c r="I3" s="20">
        <v>3.7</v>
      </c>
      <c r="J3" s="20">
        <v>3.8</v>
      </c>
      <c r="K3" s="20">
        <v>2.5</v>
      </c>
      <c r="L3" s="20">
        <v>4.2</v>
      </c>
      <c r="M3" s="20">
        <v>3.0</v>
      </c>
      <c r="N3" s="20">
        <v>8.6</v>
      </c>
      <c r="O3" s="20">
        <v>3.4</v>
      </c>
    </row>
    <row r="4">
      <c r="A4" s="2">
        <v>41821.0</v>
      </c>
      <c r="B4" s="18">
        <f>IFERROR(__xludf.DUMMYFUNCTION("""COMPUTED_VALUE"""),4.1000000000000005)</f>
        <v>4.1</v>
      </c>
      <c r="C4" s="19"/>
      <c r="D4" s="15" t="s">
        <v>11</v>
      </c>
      <c r="E4" s="20">
        <v>3.5</v>
      </c>
      <c r="F4" s="20">
        <v>1.5</v>
      </c>
      <c r="G4" s="20">
        <v>0.6</v>
      </c>
      <c r="H4" s="20">
        <v>3.1</v>
      </c>
      <c r="I4" s="20">
        <v>4.3</v>
      </c>
      <c r="J4" s="20">
        <v>3.4</v>
      </c>
      <c r="K4" s="20">
        <v>2.2</v>
      </c>
      <c r="L4" s="20">
        <v>4.1</v>
      </c>
      <c r="M4" s="20">
        <v>4.0</v>
      </c>
      <c r="N4" s="20">
        <v>7.6</v>
      </c>
      <c r="O4" s="20">
        <v>3.7</v>
      </c>
    </row>
    <row r="5">
      <c r="A5" s="2">
        <v>41913.0</v>
      </c>
      <c r="B5" s="18">
        <f>IFERROR(__xludf.DUMMYFUNCTION("""COMPUTED_VALUE"""),2.8666666666666667)</f>
        <v>2.866666667</v>
      </c>
      <c r="C5" s="19"/>
      <c r="D5" s="17" t="s">
        <v>12</v>
      </c>
      <c r="E5" s="20">
        <v>3.6</v>
      </c>
      <c r="F5" s="20">
        <v>1.4</v>
      </c>
      <c r="G5" s="20">
        <v>0.7</v>
      </c>
      <c r="H5" s="20">
        <v>3.2</v>
      </c>
      <c r="I5" s="20">
        <v>4.3</v>
      </c>
      <c r="J5" s="20">
        <v>3.2</v>
      </c>
      <c r="K5" s="20">
        <v>1.8</v>
      </c>
      <c r="L5" s="20">
        <v>4.1</v>
      </c>
      <c r="M5" s="20">
        <v>4.9</v>
      </c>
      <c r="N5" s="20">
        <v>6.6</v>
      </c>
      <c r="O5" s="20">
        <v>3.8</v>
      </c>
    </row>
    <row r="6">
      <c r="A6" s="2">
        <v>42005.0</v>
      </c>
      <c r="B6" s="18">
        <f>IFERROR(__xludf.DUMMYFUNCTION("""COMPUTED_VALUE"""),1.5)</f>
        <v>1.5</v>
      </c>
      <c r="C6" s="19"/>
      <c r="D6" s="15" t="s">
        <v>13</v>
      </c>
      <c r="E6" s="20">
        <v>4.0</v>
      </c>
      <c r="F6" s="20">
        <v>0.9</v>
      </c>
      <c r="G6" s="20">
        <v>0.9</v>
      </c>
      <c r="H6" s="20">
        <v>2.9</v>
      </c>
      <c r="I6" s="20">
        <v>4.6</v>
      </c>
      <c r="J6" s="20">
        <v>3.2</v>
      </c>
      <c r="K6" s="20">
        <v>1.6</v>
      </c>
      <c r="L6" s="20">
        <v>4.1</v>
      </c>
      <c r="M6" s="20">
        <v>5.4</v>
      </c>
      <c r="N6" s="20">
        <v>6.1</v>
      </c>
      <c r="O6" s="20">
        <v>3.9</v>
      </c>
    </row>
    <row r="7">
      <c r="A7" s="2">
        <v>42095.0</v>
      </c>
      <c r="B7" s="18">
        <f>IFERROR(__xludf.DUMMYFUNCTION("""COMPUTED_VALUE"""),0.9666666666666667)</f>
        <v>0.9666666667</v>
      </c>
      <c r="C7" s="8"/>
      <c r="D7" s="17" t="s">
        <v>14</v>
      </c>
      <c r="E7" s="20">
        <v>3.8</v>
      </c>
      <c r="F7" s="20">
        <v>0.6</v>
      </c>
      <c r="G7" s="20">
        <v>1.3</v>
      </c>
      <c r="H7" s="20">
        <v>2.5</v>
      </c>
      <c r="I7" s="20">
        <v>5.0</v>
      </c>
      <c r="J7" s="20">
        <v>2.7</v>
      </c>
      <c r="K7" s="20">
        <v>2.3</v>
      </c>
      <c r="L7" s="20">
        <v>3.7</v>
      </c>
      <c r="M7" s="20">
        <v>6.1</v>
      </c>
      <c r="N7" s="20">
        <v>5.4</v>
      </c>
      <c r="O7" s="20">
        <v>3.7</v>
      </c>
    </row>
    <row r="8">
      <c r="A8" s="2">
        <v>42186.0</v>
      </c>
      <c r="B8" s="18">
        <f>IFERROR(__xludf.DUMMYFUNCTION("""COMPUTED_VALUE"""),-0.06666666666666667)</f>
        <v>-0.06666666667</v>
      </c>
      <c r="C8" s="19"/>
      <c r="D8" s="15" t="s">
        <v>15</v>
      </c>
      <c r="E8" s="20">
        <v>4.2</v>
      </c>
      <c r="F8" s="20">
        <v>0.2</v>
      </c>
      <c r="G8" s="20">
        <v>1.3</v>
      </c>
      <c r="H8" s="20">
        <v>2.4</v>
      </c>
      <c r="I8" s="20">
        <v>5.8</v>
      </c>
      <c r="J8" s="20">
        <v>2.2</v>
      </c>
      <c r="K8" s="20">
        <v>2.4</v>
      </c>
      <c r="L8" s="20">
        <v>3.7</v>
      </c>
      <c r="M8" s="20">
        <v>6.4</v>
      </c>
      <c r="N8" s="20">
        <v>4.7</v>
      </c>
      <c r="O8" s="20">
        <v>4.4</v>
      </c>
    </row>
    <row r="9">
      <c r="A9" s="2">
        <v>42278.0</v>
      </c>
      <c r="B9" s="18">
        <f>IFERROR(__xludf.DUMMYFUNCTION("""COMPUTED_VALUE"""),0.26666666666666666)</f>
        <v>0.2666666667</v>
      </c>
      <c r="C9" s="8"/>
      <c r="D9" s="17" t="s">
        <v>16</v>
      </c>
      <c r="E9" s="20">
        <v>4.2</v>
      </c>
      <c r="F9" s="20">
        <v>0.0</v>
      </c>
      <c r="G9" s="20">
        <v>1.3</v>
      </c>
      <c r="H9" s="20">
        <v>2.6</v>
      </c>
      <c r="I9" s="20">
        <v>6.6</v>
      </c>
      <c r="J9" s="20">
        <v>1.4</v>
      </c>
      <c r="K9" s="20">
        <v>2.2</v>
      </c>
      <c r="L9" s="20">
        <v>4.4</v>
      </c>
      <c r="M9" s="20">
        <v>6.3</v>
      </c>
      <c r="N9" s="20">
        <v>5.3</v>
      </c>
      <c r="O9" s="20">
        <v>3.3</v>
      </c>
    </row>
    <row r="10">
      <c r="A10" s="2">
        <v>42370.0</v>
      </c>
      <c r="B10" s="18">
        <f>IFERROR(__xludf.DUMMYFUNCTION("""COMPUTED_VALUE"""),0.6)</f>
        <v>0.6</v>
      </c>
      <c r="C10" s="19"/>
      <c r="D10" s="15" t="s">
        <v>17</v>
      </c>
      <c r="E10" s="20">
        <v>3.9</v>
      </c>
      <c r="F10" s="20">
        <v>-0.4</v>
      </c>
      <c r="G10" s="20">
        <v>1.7</v>
      </c>
      <c r="H10" s="20">
        <v>3.0</v>
      </c>
      <c r="I10" s="20">
        <v>6.9</v>
      </c>
      <c r="J10" s="20">
        <v>0.5</v>
      </c>
      <c r="K10" s="20">
        <v>2.2</v>
      </c>
      <c r="L10" s="20">
        <v>4.2</v>
      </c>
      <c r="M10" s="20">
        <v>6.9</v>
      </c>
      <c r="N10" s="20">
        <v>6.1</v>
      </c>
      <c r="O10" s="20">
        <v>1.9</v>
      </c>
    </row>
    <row r="11">
      <c r="A11" s="2">
        <v>42461.0</v>
      </c>
      <c r="B11" s="18">
        <f>IFERROR(__xludf.DUMMYFUNCTION("""COMPUTED_VALUE"""),0.9666666666666668)</f>
        <v>0.9666666667</v>
      </c>
      <c r="C11" s="8"/>
      <c r="D11" s="17" t="s">
        <v>18</v>
      </c>
      <c r="E11" s="20">
        <v>3.7</v>
      </c>
      <c r="F11" s="20">
        <v>-0.2</v>
      </c>
      <c r="G11" s="20">
        <v>1.8</v>
      </c>
      <c r="H11" s="20">
        <v>3.1</v>
      </c>
      <c r="I11" s="20">
        <v>6.9</v>
      </c>
      <c r="J11" s="20">
        <v>0.6</v>
      </c>
      <c r="K11" s="20">
        <v>2.3</v>
      </c>
      <c r="L11" s="20">
        <v>4.0</v>
      </c>
      <c r="M11" s="20">
        <v>7.7</v>
      </c>
      <c r="N11" s="20">
        <v>4.9</v>
      </c>
      <c r="O11" s="20">
        <v>2.3</v>
      </c>
    </row>
    <row r="12">
      <c r="A12" s="2">
        <v>42552.0</v>
      </c>
      <c r="B12" s="18">
        <f>IFERROR(__xludf.DUMMYFUNCTION("""COMPUTED_VALUE"""),1.4333333333333333)</f>
        <v>1.433333333</v>
      </c>
      <c r="C12" s="19"/>
      <c r="D12" s="15" t="s">
        <v>19</v>
      </c>
      <c r="E12" s="20">
        <v>3.0</v>
      </c>
      <c r="F12" s="20">
        <v>0.3</v>
      </c>
      <c r="G12" s="20">
        <v>2.1</v>
      </c>
      <c r="H12" s="20">
        <v>3.0</v>
      </c>
      <c r="I12" s="20">
        <v>6.1</v>
      </c>
      <c r="J12" s="20">
        <v>1.2</v>
      </c>
      <c r="K12" s="20">
        <v>3.0</v>
      </c>
      <c r="L12" s="20">
        <v>3.7</v>
      </c>
      <c r="M12" s="20">
        <v>8.0</v>
      </c>
      <c r="N12" s="20">
        <v>4.1</v>
      </c>
      <c r="O12" s="20">
        <v>2.5</v>
      </c>
    </row>
    <row r="13">
      <c r="A13" s="2">
        <v>42644.0</v>
      </c>
      <c r="B13" s="18">
        <f>IFERROR(__xludf.DUMMYFUNCTION("""COMPUTED_VALUE"""),2.0333333333333337)</f>
        <v>2.033333333</v>
      </c>
      <c r="C13" s="8"/>
      <c r="D13" s="17" t="s">
        <v>20</v>
      </c>
      <c r="E13" s="20">
        <v>1.9</v>
      </c>
      <c r="F13" s="20">
        <v>0.7</v>
      </c>
      <c r="G13" s="20">
        <v>2.2</v>
      </c>
      <c r="H13" s="20">
        <v>2.9</v>
      </c>
      <c r="I13" s="20">
        <v>5.2</v>
      </c>
      <c r="J13" s="20">
        <v>2.4</v>
      </c>
      <c r="K13" s="20">
        <v>3.3</v>
      </c>
      <c r="L13" s="20">
        <v>3.1</v>
      </c>
      <c r="M13" s="20">
        <v>8.1</v>
      </c>
      <c r="N13" s="20">
        <v>3.9</v>
      </c>
      <c r="O13" s="20">
        <v>2.9</v>
      </c>
    </row>
    <row r="14">
      <c r="A14" s="2">
        <v>42736.0</v>
      </c>
      <c r="B14" s="18">
        <f>IFERROR(__xludf.DUMMYFUNCTION("""COMPUTED_VALUE"""),2.9)</f>
        <v>2.9</v>
      </c>
      <c r="C14" s="10"/>
      <c r="D14" s="21" t="s">
        <v>22</v>
      </c>
      <c r="E14" s="22">
        <f t="shared" ref="E14:O14" si="1">AVERAGE(E2:E4)</f>
        <v>3.6</v>
      </c>
      <c r="F14" s="22">
        <f t="shared" si="1"/>
        <v>1.5</v>
      </c>
      <c r="G14" s="22">
        <f t="shared" si="1"/>
        <v>0.6</v>
      </c>
      <c r="H14" s="22">
        <f t="shared" si="1"/>
        <v>2.9</v>
      </c>
      <c r="I14" s="22">
        <f t="shared" si="1"/>
        <v>3.8</v>
      </c>
      <c r="J14" s="22">
        <f t="shared" si="1"/>
        <v>3.866666667</v>
      </c>
      <c r="K14" s="22">
        <f t="shared" si="1"/>
        <v>2.566666667</v>
      </c>
      <c r="L14" s="22">
        <f t="shared" si="1"/>
        <v>4</v>
      </c>
      <c r="M14" s="22">
        <f t="shared" si="1"/>
        <v>3.333333333</v>
      </c>
      <c r="N14" s="22">
        <f t="shared" si="1"/>
        <v>8.3</v>
      </c>
      <c r="O14" s="22">
        <f t="shared" si="1"/>
        <v>3.3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">
        <v>42826.0</v>
      </c>
      <c r="B15" s="18">
        <f>IFERROR(__xludf.DUMMYFUNCTION("""COMPUTED_VALUE"""),2.8666666666666667)</f>
        <v>2.866666667</v>
      </c>
      <c r="C15" s="14"/>
      <c r="D15" s="1" t="s">
        <v>23</v>
      </c>
      <c r="E15" s="23">
        <f t="shared" ref="E15:O15" si="2">AVERAGE(E5:E7)</f>
        <v>3.8</v>
      </c>
      <c r="F15" s="23">
        <f t="shared" si="2"/>
        <v>0.9666666667</v>
      </c>
      <c r="G15" s="23">
        <f t="shared" si="2"/>
        <v>0.9666666667</v>
      </c>
      <c r="H15" s="23">
        <f t="shared" si="2"/>
        <v>2.866666667</v>
      </c>
      <c r="I15" s="23">
        <f t="shared" si="2"/>
        <v>4.633333333</v>
      </c>
      <c r="J15" s="23">
        <f t="shared" si="2"/>
        <v>3.033333333</v>
      </c>
      <c r="K15" s="23">
        <f t="shared" si="2"/>
        <v>1.9</v>
      </c>
      <c r="L15" s="23">
        <f t="shared" si="2"/>
        <v>3.966666667</v>
      </c>
      <c r="M15" s="23">
        <f t="shared" si="2"/>
        <v>5.466666667</v>
      </c>
      <c r="N15" s="23">
        <f t="shared" si="2"/>
        <v>6.033333333</v>
      </c>
      <c r="O15" s="23">
        <f t="shared" si="2"/>
        <v>3.8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2">
        <v>42917.0</v>
      </c>
      <c r="B16" s="18">
        <f>IFERROR(__xludf.DUMMYFUNCTION("""COMPUTED_VALUE"""),2.6666666666666665)</f>
        <v>2.666666667</v>
      </c>
      <c r="C16" s="10"/>
      <c r="D16" s="21" t="s">
        <v>24</v>
      </c>
      <c r="E16" s="22">
        <f t="shared" ref="E16:O16" si="3">AVERAGE(E8:E10)</f>
        <v>4.1</v>
      </c>
      <c r="F16" s="22">
        <f t="shared" si="3"/>
        <v>-0.06666666667</v>
      </c>
      <c r="G16" s="22">
        <f t="shared" si="3"/>
        <v>1.433333333</v>
      </c>
      <c r="H16" s="22">
        <f t="shared" si="3"/>
        <v>2.666666667</v>
      </c>
      <c r="I16" s="22">
        <f t="shared" si="3"/>
        <v>6.433333333</v>
      </c>
      <c r="J16" s="22">
        <f t="shared" si="3"/>
        <v>1.366666667</v>
      </c>
      <c r="K16" s="22">
        <f t="shared" si="3"/>
        <v>2.266666667</v>
      </c>
      <c r="L16" s="22">
        <f t="shared" si="3"/>
        <v>4.1</v>
      </c>
      <c r="M16" s="22">
        <f t="shared" si="3"/>
        <v>6.533333333</v>
      </c>
      <c r="N16" s="22">
        <f t="shared" si="3"/>
        <v>5.366666667</v>
      </c>
      <c r="O16" s="22">
        <f t="shared" si="3"/>
        <v>3.2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2">
        <v>43009.0</v>
      </c>
      <c r="B17" s="18">
        <f>IFERROR(__xludf.DUMMYFUNCTION("""COMPUTED_VALUE"""),3.0)</f>
        <v>3</v>
      </c>
      <c r="C17" s="14"/>
      <c r="D17" s="1" t="s">
        <v>25</v>
      </c>
      <c r="E17" s="23">
        <f t="shared" ref="E17:O17" si="4">AVERAGE(E11:E13)</f>
        <v>2.866666667</v>
      </c>
      <c r="F17" s="23">
        <f t="shared" si="4"/>
        <v>0.2666666667</v>
      </c>
      <c r="G17" s="23">
        <f t="shared" si="4"/>
        <v>2.033333333</v>
      </c>
      <c r="H17" s="23">
        <f t="shared" si="4"/>
        <v>3</v>
      </c>
      <c r="I17" s="23">
        <f t="shared" si="4"/>
        <v>6.066666667</v>
      </c>
      <c r="J17" s="23">
        <f t="shared" si="4"/>
        <v>1.4</v>
      </c>
      <c r="K17" s="23">
        <f t="shared" si="4"/>
        <v>2.866666667</v>
      </c>
      <c r="L17" s="23">
        <f t="shared" si="4"/>
        <v>3.6</v>
      </c>
      <c r="M17" s="23">
        <f t="shared" si="4"/>
        <v>7.933333333</v>
      </c>
      <c r="N17" s="23">
        <f t="shared" si="4"/>
        <v>4.3</v>
      </c>
      <c r="O17" s="23">
        <f t="shared" si="4"/>
        <v>2.566666667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2">
        <v>43101.0</v>
      </c>
      <c r="B18" s="18">
        <f>IFERROR(__xludf.DUMMYFUNCTION("""COMPUTED_VALUE"""),3.7999999999999994)</f>
        <v>3.8</v>
      </c>
      <c r="C18" s="1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">
        <v>43191.0</v>
      </c>
      <c r="B19" s="18">
        <f>IFERROR(__xludf.DUMMYFUNCTION("""COMPUTED_VALUE"""),4.633333333333333)</f>
        <v>4.633333333</v>
      </c>
      <c r="C19" s="8"/>
    </row>
    <row r="20">
      <c r="A20" s="2">
        <v>43282.0</v>
      </c>
      <c r="B20" s="18">
        <f>IFERROR(__xludf.DUMMYFUNCTION("""COMPUTED_VALUE"""),6.433333333333333)</f>
        <v>6.433333333</v>
      </c>
      <c r="C20" s="19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W20" s="15"/>
    </row>
    <row r="21">
      <c r="A21" s="2">
        <v>43374.0</v>
      </c>
      <c r="B21" s="18">
        <f>IFERROR(__xludf.DUMMYFUNCTION("""COMPUTED_VALUE"""),6.066666666666666)</f>
        <v>6.066666667</v>
      </c>
      <c r="C21" s="8"/>
    </row>
    <row r="22">
      <c r="A22" s="2">
        <v>43466.0</v>
      </c>
      <c r="B22" s="18">
        <f>IFERROR(__xludf.DUMMYFUNCTION("""COMPUTED_VALUE"""),3.8666666666666667)</f>
        <v>3.866666667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2">
        <v>43556.0</v>
      </c>
      <c r="B23" s="18">
        <f>IFERROR(__xludf.DUMMYFUNCTION("""COMPUTED_VALUE"""),3.0333333333333337)</f>
        <v>3.033333333</v>
      </c>
      <c r="C23" s="8"/>
    </row>
    <row r="24">
      <c r="A24" s="2">
        <v>43647.0</v>
      </c>
      <c r="B24" s="18">
        <f>IFERROR(__xludf.DUMMYFUNCTION("""COMPUTED_VALUE"""),1.3666666666666665)</f>
        <v>1.366666667</v>
      </c>
      <c r="C24" s="8"/>
      <c r="D24" s="15"/>
    </row>
    <row r="25">
      <c r="A25" s="2">
        <v>43739.0</v>
      </c>
      <c r="B25" s="18">
        <f>IFERROR(__xludf.DUMMYFUNCTION("""COMPUTED_VALUE"""),1.3999999999999997)</f>
        <v>1.4</v>
      </c>
      <c r="C25" s="8"/>
    </row>
    <row r="26">
      <c r="A26" s="2">
        <v>43831.0</v>
      </c>
      <c r="B26" s="18">
        <f>IFERROR(__xludf.DUMMYFUNCTION("""COMPUTED_VALUE"""),2.566666666666667)</f>
        <v>2.566666667</v>
      </c>
      <c r="C26" s="8"/>
    </row>
    <row r="27">
      <c r="A27" s="2">
        <v>43922.0</v>
      </c>
      <c r="B27" s="18">
        <f>IFERROR(__xludf.DUMMYFUNCTION("""COMPUTED_VALUE"""),1.9000000000000001)</f>
        <v>1.9</v>
      </c>
      <c r="C27" s="8"/>
    </row>
    <row r="28">
      <c r="A28" s="2">
        <v>44013.0</v>
      </c>
      <c r="B28" s="18">
        <f>IFERROR(__xludf.DUMMYFUNCTION("""COMPUTED_VALUE"""),2.2666666666666666)</f>
        <v>2.266666667</v>
      </c>
      <c r="C28" s="8"/>
    </row>
    <row r="29">
      <c r="A29" s="2">
        <v>44105.0</v>
      </c>
      <c r="B29" s="18">
        <f>IFERROR(__xludf.DUMMYFUNCTION("""COMPUTED_VALUE"""),2.8666666666666667)</f>
        <v>2.866666667</v>
      </c>
      <c r="C29" s="8"/>
    </row>
    <row r="30">
      <c r="A30" s="2">
        <v>44197.0</v>
      </c>
      <c r="B30" s="18">
        <f>IFERROR(__xludf.DUMMYFUNCTION("""COMPUTED_VALUE"""),4.0)</f>
        <v>4</v>
      </c>
      <c r="C30" s="8"/>
    </row>
    <row r="31">
      <c r="A31" s="2">
        <v>44287.0</v>
      </c>
      <c r="B31" s="18">
        <f>IFERROR(__xludf.DUMMYFUNCTION("""COMPUTED_VALUE"""),3.9666666666666663)</f>
        <v>3.966666667</v>
      </c>
      <c r="C31" s="8"/>
    </row>
    <row r="32">
      <c r="A32" s="2">
        <v>44378.0</v>
      </c>
      <c r="B32" s="18">
        <f>IFERROR(__xludf.DUMMYFUNCTION("""COMPUTED_VALUE"""),4.1000000000000005)</f>
        <v>4.1</v>
      </c>
      <c r="C32" s="8"/>
    </row>
    <row r="33">
      <c r="A33" s="2">
        <v>44470.0</v>
      </c>
      <c r="B33" s="18">
        <f>IFERROR(__xludf.DUMMYFUNCTION("""COMPUTED_VALUE"""),3.6)</f>
        <v>3.6</v>
      </c>
      <c r="C33" s="8"/>
    </row>
    <row r="34">
      <c r="A34" s="2">
        <v>44562.0</v>
      </c>
      <c r="B34" s="18">
        <f>IFERROR(__xludf.DUMMYFUNCTION("""COMPUTED_VALUE"""),3.3333333333333335)</f>
        <v>3.333333333</v>
      </c>
      <c r="C34" s="8"/>
    </row>
    <row r="35">
      <c r="A35" s="2">
        <v>44652.0</v>
      </c>
      <c r="B35" s="18">
        <f>IFERROR(__xludf.DUMMYFUNCTION("""COMPUTED_VALUE"""),5.466666666666666)</f>
        <v>5.466666667</v>
      </c>
      <c r="C35" s="8"/>
    </row>
    <row r="36">
      <c r="A36" s="2">
        <v>44743.0</v>
      </c>
      <c r="B36" s="18">
        <f>IFERROR(__xludf.DUMMYFUNCTION("""COMPUTED_VALUE"""),6.533333333333334)</f>
        <v>6.533333333</v>
      </c>
      <c r="C36" s="8"/>
    </row>
    <row r="37">
      <c r="A37" s="2">
        <v>44835.0</v>
      </c>
      <c r="B37" s="18">
        <f>IFERROR(__xludf.DUMMYFUNCTION("""COMPUTED_VALUE"""),7.933333333333333)</f>
        <v>7.933333333</v>
      </c>
      <c r="C37" s="8"/>
    </row>
    <row r="38">
      <c r="A38" s="2">
        <v>44927.0</v>
      </c>
      <c r="B38" s="18">
        <f>IFERROR(__xludf.DUMMYFUNCTION("""COMPUTED_VALUE"""),8.299999999999999)</f>
        <v>8.3</v>
      </c>
      <c r="C38" s="8"/>
    </row>
    <row r="39">
      <c r="A39" s="2">
        <v>45017.0</v>
      </c>
      <c r="B39" s="18">
        <f>IFERROR(__xludf.DUMMYFUNCTION("""COMPUTED_VALUE"""),6.033333333333334)</f>
        <v>6.033333333</v>
      </c>
      <c r="C39" s="8"/>
    </row>
    <row r="40">
      <c r="A40" s="2">
        <v>45108.0</v>
      </c>
      <c r="B40" s="18">
        <f>IFERROR(__xludf.DUMMYFUNCTION("""COMPUTED_VALUE"""),5.366666666666667)</f>
        <v>5.366666667</v>
      </c>
      <c r="C40" s="8"/>
    </row>
    <row r="41">
      <c r="A41" s="2">
        <v>45200.0</v>
      </c>
      <c r="B41" s="18">
        <f>IFERROR(__xludf.DUMMYFUNCTION("""COMPUTED_VALUE"""),4.3)</f>
        <v>4.3</v>
      </c>
      <c r="C41" s="8"/>
    </row>
    <row r="42">
      <c r="A42" s="2">
        <v>45292.0</v>
      </c>
      <c r="B42" s="18">
        <f>IFERROR(__xludf.DUMMYFUNCTION("""COMPUTED_VALUE"""),3.2999999999999994)</f>
        <v>3.3</v>
      </c>
      <c r="C42" s="8"/>
    </row>
    <row r="43">
      <c r="A43" s="2">
        <v>45383.0</v>
      </c>
      <c r="B43" s="18">
        <f>IFERROR(__xludf.DUMMYFUNCTION("""COMPUTED_VALUE"""),3.7999999999999994)</f>
        <v>3.8</v>
      </c>
      <c r="C43" s="8"/>
    </row>
    <row r="44">
      <c r="A44" s="2">
        <v>45474.0</v>
      </c>
      <c r="B44" s="18">
        <f>IFERROR(__xludf.DUMMYFUNCTION("""COMPUTED_VALUE"""),3.1999999999999997)</f>
        <v>3.2</v>
      </c>
      <c r="C44" s="8"/>
    </row>
    <row r="45">
      <c r="A45" s="2">
        <v>45566.0</v>
      </c>
      <c r="B45" s="18">
        <f>IFERROR(__xludf.DUMMYFUNCTION("""COMPUTED_VALUE"""),2.5666666666666664)</f>
        <v>2.566666667</v>
      </c>
      <c r="C45" s="8"/>
    </row>
    <row r="46">
      <c r="A46" s="2"/>
      <c r="B46" s="16"/>
      <c r="C46" s="8"/>
    </row>
    <row r="47">
      <c r="B47" s="16"/>
      <c r="C47" s="8"/>
    </row>
    <row r="48">
      <c r="B48" s="16"/>
      <c r="C48" s="8"/>
    </row>
    <row r="49">
      <c r="B49" s="16"/>
      <c r="C49" s="8"/>
    </row>
    <row r="50">
      <c r="B50" s="16"/>
      <c r="C50" s="8"/>
    </row>
    <row r="51">
      <c r="B51" s="16"/>
      <c r="C51" s="8"/>
    </row>
    <row r="52">
      <c r="B52" s="16"/>
      <c r="C52" s="8"/>
    </row>
    <row r="53">
      <c r="B53" s="16"/>
      <c r="C53" s="8"/>
    </row>
    <row r="54">
      <c r="B54" s="16"/>
      <c r="C54" s="8"/>
    </row>
    <row r="55">
      <c r="B55" s="16"/>
      <c r="C55" s="8"/>
    </row>
    <row r="56">
      <c r="B56" s="16"/>
      <c r="C56" s="8"/>
    </row>
    <row r="57">
      <c r="B57" s="16"/>
      <c r="C57" s="8"/>
    </row>
    <row r="58">
      <c r="B58" s="16"/>
      <c r="C58" s="8"/>
    </row>
    <row r="59">
      <c r="B59" s="16"/>
      <c r="C59" s="8"/>
    </row>
    <row r="60">
      <c r="B60" s="16"/>
      <c r="C60" s="8"/>
    </row>
    <row r="61">
      <c r="B61" s="16"/>
      <c r="C61" s="8"/>
    </row>
    <row r="62">
      <c r="B62" s="16"/>
      <c r="C62" s="8"/>
    </row>
    <row r="63">
      <c r="B63" s="16"/>
      <c r="C63" s="8"/>
    </row>
    <row r="64">
      <c r="B64" s="16"/>
      <c r="C64" s="8"/>
    </row>
    <row r="65">
      <c r="B65" s="16"/>
      <c r="C65" s="8"/>
    </row>
    <row r="66">
      <c r="B66" s="16"/>
      <c r="C66" s="8"/>
    </row>
    <row r="67">
      <c r="B67" s="16"/>
      <c r="C67" s="8"/>
    </row>
    <row r="68">
      <c r="B68" s="16"/>
      <c r="C68" s="8"/>
    </row>
    <row r="69">
      <c r="B69" s="16"/>
      <c r="C69" s="8"/>
    </row>
    <row r="70">
      <c r="B70" s="16"/>
      <c r="C70" s="8"/>
    </row>
    <row r="71">
      <c r="B71" s="16"/>
      <c r="C71" s="8"/>
    </row>
    <row r="72">
      <c r="B72" s="16"/>
      <c r="C72" s="8"/>
    </row>
    <row r="73">
      <c r="B73" s="16"/>
      <c r="C73" s="8"/>
    </row>
    <row r="74">
      <c r="B74" s="16"/>
      <c r="C74" s="8"/>
    </row>
    <row r="75">
      <c r="B75" s="16"/>
      <c r="C75" s="8"/>
    </row>
    <row r="76">
      <c r="B76" s="16"/>
      <c r="C76" s="8"/>
    </row>
    <row r="77">
      <c r="B77" s="16"/>
      <c r="C77" s="8"/>
    </row>
    <row r="78">
      <c r="B78" s="16"/>
      <c r="C78" s="8"/>
    </row>
    <row r="79">
      <c r="B79" s="16"/>
      <c r="C79" s="8"/>
    </row>
    <row r="80">
      <c r="B80" s="16"/>
      <c r="C80" s="8"/>
    </row>
    <row r="81">
      <c r="B81" s="16"/>
      <c r="C81" s="8"/>
    </row>
    <row r="82">
      <c r="B82" s="16"/>
      <c r="C82" s="8"/>
    </row>
    <row r="83">
      <c r="B83" s="16"/>
      <c r="C83" s="8"/>
    </row>
    <row r="84">
      <c r="B84" s="16"/>
      <c r="C84" s="8"/>
    </row>
    <row r="85">
      <c r="B85" s="16"/>
      <c r="C85" s="8"/>
    </row>
    <row r="86">
      <c r="B86" s="16"/>
      <c r="C86" s="8"/>
    </row>
    <row r="87">
      <c r="B87" s="16"/>
      <c r="C87" s="8"/>
    </row>
    <row r="88">
      <c r="B88" s="16"/>
      <c r="C88" s="8"/>
    </row>
    <row r="89">
      <c r="B89" s="16"/>
      <c r="C89" s="8"/>
    </row>
    <row r="90">
      <c r="B90" s="16"/>
      <c r="C90" s="8"/>
    </row>
    <row r="91">
      <c r="B91" s="16"/>
      <c r="C91" s="8"/>
    </row>
    <row r="92">
      <c r="B92" s="16"/>
      <c r="C92" s="8"/>
    </row>
    <row r="93">
      <c r="B93" s="16"/>
      <c r="C93" s="8"/>
    </row>
    <row r="94">
      <c r="B94" s="16"/>
      <c r="C94" s="8"/>
    </row>
    <row r="95">
      <c r="B95" s="16"/>
      <c r="C95" s="8"/>
    </row>
    <row r="96">
      <c r="B96" s="16"/>
      <c r="C96" s="8"/>
    </row>
    <row r="97">
      <c r="B97" s="16"/>
      <c r="C97" s="8"/>
    </row>
    <row r="98">
      <c r="B98" s="16"/>
      <c r="C98" s="8"/>
    </row>
    <row r="99">
      <c r="B99" s="16"/>
      <c r="C99" s="8"/>
    </row>
    <row r="100">
      <c r="B100" s="16"/>
      <c r="C100" s="8"/>
    </row>
    <row r="101">
      <c r="B101" s="16"/>
      <c r="C101" s="8"/>
    </row>
    <row r="102">
      <c r="B102" s="16"/>
      <c r="C102" s="8"/>
    </row>
    <row r="103">
      <c r="B103" s="16"/>
      <c r="C103" s="8"/>
    </row>
    <row r="104">
      <c r="B104" s="16"/>
      <c r="C104" s="8"/>
    </row>
    <row r="105">
      <c r="B105" s="16"/>
      <c r="C105" s="8"/>
    </row>
    <row r="106">
      <c r="B106" s="16"/>
      <c r="C106" s="8"/>
    </row>
    <row r="107">
      <c r="B107" s="16"/>
      <c r="C107" s="8"/>
    </row>
    <row r="108">
      <c r="B108" s="16"/>
      <c r="C108" s="8"/>
    </row>
    <row r="109">
      <c r="B109" s="16"/>
      <c r="C109" s="8"/>
    </row>
    <row r="110">
      <c r="B110" s="16"/>
      <c r="C110" s="8"/>
    </row>
    <row r="111">
      <c r="B111" s="16"/>
      <c r="C111" s="8"/>
    </row>
    <row r="112">
      <c r="B112" s="16"/>
      <c r="C112" s="8"/>
    </row>
    <row r="113">
      <c r="B113" s="16"/>
      <c r="C113" s="8"/>
    </row>
    <row r="114">
      <c r="B114" s="16"/>
      <c r="C114" s="8"/>
    </row>
    <row r="115">
      <c r="B115" s="16"/>
      <c r="C115" s="8"/>
    </row>
    <row r="116">
      <c r="B116" s="16"/>
      <c r="C116" s="8"/>
    </row>
    <row r="117">
      <c r="B117" s="16"/>
      <c r="C117" s="8"/>
    </row>
    <row r="118">
      <c r="B118" s="16"/>
      <c r="C118" s="8"/>
    </row>
    <row r="119">
      <c r="B119" s="16"/>
      <c r="C119" s="8"/>
    </row>
    <row r="120">
      <c r="B120" s="16"/>
      <c r="C120" s="8"/>
    </row>
    <row r="121">
      <c r="B121" s="16"/>
      <c r="C121" s="8"/>
    </row>
    <row r="122">
      <c r="B122" s="16"/>
      <c r="C122" s="8"/>
    </row>
    <row r="123">
      <c r="B123" s="16"/>
      <c r="C123" s="8"/>
    </row>
    <row r="124">
      <c r="B124" s="16"/>
      <c r="C124" s="8"/>
    </row>
    <row r="125">
      <c r="B125" s="16"/>
      <c r="C125" s="8"/>
    </row>
    <row r="126">
      <c r="B126" s="16"/>
      <c r="C126" s="8"/>
    </row>
    <row r="127">
      <c r="B127" s="16"/>
      <c r="C127" s="8"/>
    </row>
    <row r="128">
      <c r="B128" s="16"/>
      <c r="C128" s="8"/>
    </row>
    <row r="129">
      <c r="B129" s="16"/>
      <c r="C129" s="8"/>
    </row>
    <row r="130">
      <c r="B130" s="16"/>
      <c r="C130" s="8"/>
    </row>
    <row r="131">
      <c r="B131" s="16"/>
      <c r="C131" s="8"/>
    </row>
    <row r="132">
      <c r="B132" s="16"/>
      <c r="C132" s="8"/>
    </row>
    <row r="133">
      <c r="B133" s="16"/>
      <c r="C133" s="8"/>
    </row>
    <row r="134">
      <c r="B134" s="16"/>
      <c r="C134" s="8"/>
    </row>
    <row r="135">
      <c r="B135" s="16"/>
      <c r="C135" s="8"/>
    </row>
    <row r="136">
      <c r="B136" s="16"/>
      <c r="C136" s="8"/>
    </row>
    <row r="137">
      <c r="B137" s="16"/>
      <c r="C137" s="8"/>
    </row>
    <row r="138">
      <c r="B138" s="16"/>
      <c r="C138" s="8"/>
    </row>
    <row r="139">
      <c r="B139" s="16"/>
      <c r="C139" s="8"/>
    </row>
    <row r="140">
      <c r="B140" s="16"/>
      <c r="C140" s="8"/>
    </row>
    <row r="141">
      <c r="B141" s="16"/>
      <c r="C141" s="8"/>
    </row>
    <row r="142">
      <c r="B142" s="16"/>
      <c r="C142" s="8"/>
    </row>
    <row r="143">
      <c r="B143" s="16"/>
      <c r="C143" s="8"/>
    </row>
    <row r="144">
      <c r="B144" s="16"/>
      <c r="C144" s="8"/>
    </row>
    <row r="145">
      <c r="B145" s="16"/>
      <c r="C145" s="8"/>
    </row>
    <row r="146">
      <c r="B146" s="16"/>
      <c r="C146" s="8"/>
    </row>
    <row r="147">
      <c r="B147" s="16"/>
      <c r="C147" s="8"/>
    </row>
    <row r="148">
      <c r="B148" s="16"/>
      <c r="C148" s="8"/>
    </row>
    <row r="149">
      <c r="B149" s="16"/>
      <c r="C149" s="8"/>
    </row>
    <row r="150">
      <c r="B150" s="16"/>
      <c r="C150" s="8"/>
    </row>
    <row r="151">
      <c r="B151" s="16"/>
      <c r="C151" s="8"/>
    </row>
    <row r="152">
      <c r="B152" s="16"/>
      <c r="C152" s="8"/>
    </row>
    <row r="153">
      <c r="B153" s="16"/>
      <c r="C153" s="8"/>
    </row>
    <row r="154">
      <c r="B154" s="16"/>
      <c r="C154" s="8"/>
    </row>
    <row r="155">
      <c r="B155" s="16"/>
      <c r="C155" s="8"/>
    </row>
    <row r="156">
      <c r="B156" s="16"/>
      <c r="C156" s="8"/>
    </row>
    <row r="157">
      <c r="B157" s="16"/>
      <c r="C157" s="8"/>
    </row>
    <row r="158">
      <c r="B158" s="16"/>
      <c r="C158" s="8"/>
    </row>
    <row r="159">
      <c r="B159" s="16"/>
      <c r="C159" s="8"/>
    </row>
    <row r="160">
      <c r="B160" s="16"/>
      <c r="C160" s="8"/>
    </row>
    <row r="161">
      <c r="B161" s="16"/>
      <c r="C161" s="8"/>
    </row>
    <row r="162">
      <c r="B162" s="16"/>
      <c r="C162" s="8"/>
    </row>
    <row r="163">
      <c r="B163" s="16"/>
      <c r="C163" s="8"/>
    </row>
    <row r="164">
      <c r="B164" s="16"/>
      <c r="C164" s="8"/>
    </row>
    <row r="165">
      <c r="B165" s="16"/>
      <c r="C165" s="8"/>
    </row>
    <row r="166">
      <c r="B166" s="16"/>
      <c r="C166" s="8"/>
    </row>
    <row r="167">
      <c r="B167" s="16"/>
      <c r="C167" s="8"/>
    </row>
    <row r="168">
      <c r="B168" s="16"/>
      <c r="C168" s="8"/>
    </row>
    <row r="169">
      <c r="B169" s="16"/>
      <c r="C169" s="8"/>
    </row>
    <row r="170">
      <c r="B170" s="16"/>
      <c r="C170" s="8"/>
    </row>
    <row r="171">
      <c r="B171" s="16"/>
      <c r="C171" s="8"/>
    </row>
    <row r="172">
      <c r="B172" s="16"/>
      <c r="C172" s="8"/>
    </row>
    <row r="173">
      <c r="B173" s="16"/>
      <c r="C173" s="8"/>
    </row>
    <row r="174">
      <c r="B174" s="16"/>
      <c r="C174" s="8"/>
    </row>
    <row r="175">
      <c r="B175" s="16"/>
      <c r="C175" s="8"/>
    </row>
    <row r="176">
      <c r="B176" s="16"/>
      <c r="C176" s="8"/>
    </row>
    <row r="177">
      <c r="B177" s="16"/>
      <c r="C177" s="8"/>
    </row>
    <row r="178">
      <c r="B178" s="16"/>
      <c r="C178" s="8"/>
    </row>
    <row r="179">
      <c r="B179" s="16"/>
      <c r="C179" s="8"/>
    </row>
    <row r="180">
      <c r="B180" s="16"/>
      <c r="C180" s="8"/>
    </row>
    <row r="181">
      <c r="B181" s="16"/>
      <c r="C181" s="8"/>
    </row>
    <row r="182">
      <c r="B182" s="16"/>
      <c r="C182" s="8"/>
    </row>
    <row r="183">
      <c r="B183" s="16"/>
      <c r="C183" s="8"/>
    </row>
    <row r="184">
      <c r="B184" s="16"/>
      <c r="C184" s="8"/>
    </row>
    <row r="185">
      <c r="B185" s="16"/>
      <c r="C185" s="8"/>
    </row>
    <row r="186">
      <c r="B186" s="16"/>
      <c r="C186" s="8"/>
    </row>
    <row r="187">
      <c r="B187" s="16"/>
      <c r="C187" s="8"/>
    </row>
    <row r="188">
      <c r="B188" s="16"/>
      <c r="C188" s="8"/>
    </row>
    <row r="189">
      <c r="B189" s="16"/>
      <c r="C189" s="8"/>
    </row>
    <row r="190">
      <c r="B190" s="16"/>
      <c r="C190" s="8"/>
    </row>
    <row r="191">
      <c r="B191" s="16"/>
      <c r="C191" s="8"/>
    </row>
    <row r="192">
      <c r="B192" s="16"/>
      <c r="C192" s="8"/>
    </row>
    <row r="193">
      <c r="B193" s="16"/>
      <c r="C193" s="8"/>
    </row>
    <row r="194">
      <c r="B194" s="16"/>
      <c r="C194" s="8"/>
    </row>
    <row r="195">
      <c r="B195" s="16"/>
      <c r="C195" s="8"/>
    </row>
    <row r="196">
      <c r="B196" s="16"/>
      <c r="C196" s="8"/>
    </row>
    <row r="197">
      <c r="B197" s="16"/>
      <c r="C197" s="8"/>
    </row>
    <row r="198">
      <c r="B198" s="16"/>
      <c r="C198" s="8"/>
    </row>
    <row r="199">
      <c r="B199" s="16"/>
      <c r="C199" s="8"/>
    </row>
    <row r="200">
      <c r="B200" s="16"/>
      <c r="C200" s="8"/>
    </row>
    <row r="201">
      <c r="B201" s="16"/>
      <c r="C201" s="8"/>
    </row>
    <row r="202">
      <c r="B202" s="16"/>
      <c r="C202" s="8"/>
    </row>
    <row r="203">
      <c r="B203" s="16"/>
      <c r="C203" s="8"/>
    </row>
    <row r="204">
      <c r="B204" s="16"/>
      <c r="C204" s="8"/>
    </row>
    <row r="205">
      <c r="B205" s="16"/>
      <c r="C205" s="8"/>
    </row>
    <row r="206">
      <c r="B206" s="16"/>
      <c r="C206" s="8"/>
    </row>
    <row r="207">
      <c r="B207" s="16"/>
      <c r="C207" s="8"/>
    </row>
    <row r="208">
      <c r="B208" s="16"/>
      <c r="C208" s="8"/>
    </row>
    <row r="209">
      <c r="B209" s="16"/>
      <c r="C209" s="8"/>
    </row>
    <row r="210">
      <c r="B210" s="16"/>
      <c r="C210" s="8"/>
    </row>
    <row r="211">
      <c r="B211" s="16"/>
      <c r="C211" s="8"/>
    </row>
    <row r="212">
      <c r="B212" s="16"/>
      <c r="C212" s="8"/>
    </row>
    <row r="213">
      <c r="B213" s="16"/>
      <c r="C213" s="8"/>
    </row>
    <row r="214">
      <c r="B214" s="16"/>
      <c r="C214" s="8"/>
    </row>
    <row r="215">
      <c r="B215" s="16"/>
      <c r="C215" s="8"/>
    </row>
    <row r="216">
      <c r="B216" s="16"/>
      <c r="C216" s="8"/>
    </row>
    <row r="217">
      <c r="B217" s="16"/>
      <c r="C217" s="8"/>
    </row>
    <row r="218">
      <c r="B218" s="16"/>
      <c r="C218" s="8"/>
    </row>
    <row r="219">
      <c r="B219" s="16"/>
      <c r="C219" s="8"/>
    </row>
    <row r="220">
      <c r="B220" s="16"/>
      <c r="C220" s="8"/>
    </row>
    <row r="221">
      <c r="B221" s="16"/>
      <c r="C221" s="8"/>
    </row>
    <row r="222">
      <c r="B222" s="16"/>
      <c r="C222" s="8"/>
    </row>
    <row r="223">
      <c r="B223" s="16"/>
      <c r="C223" s="8"/>
    </row>
    <row r="224">
      <c r="B224" s="16"/>
      <c r="C224" s="8"/>
    </row>
    <row r="225">
      <c r="B225" s="16"/>
      <c r="C225" s="8"/>
    </row>
    <row r="226">
      <c r="B226" s="16"/>
      <c r="C226" s="8"/>
    </row>
    <row r="227">
      <c r="B227" s="16"/>
      <c r="C227" s="8"/>
    </row>
    <row r="228">
      <c r="B228" s="16"/>
      <c r="C228" s="8"/>
    </row>
    <row r="229">
      <c r="B229" s="16"/>
      <c r="C229" s="8"/>
    </row>
    <row r="230">
      <c r="B230" s="16"/>
      <c r="C230" s="8"/>
    </row>
    <row r="231">
      <c r="B231" s="16"/>
      <c r="C231" s="8"/>
    </row>
    <row r="232">
      <c r="B232" s="16"/>
      <c r="C232" s="8"/>
    </row>
    <row r="233">
      <c r="B233" s="16"/>
      <c r="C233" s="8"/>
    </row>
    <row r="234">
      <c r="B234" s="16"/>
      <c r="C234" s="8"/>
    </row>
    <row r="235">
      <c r="B235" s="16"/>
      <c r="C235" s="8"/>
    </row>
    <row r="236">
      <c r="B236" s="16"/>
      <c r="C236" s="8"/>
    </row>
    <row r="237">
      <c r="B237" s="16"/>
      <c r="C237" s="8"/>
    </row>
    <row r="238">
      <c r="B238" s="16"/>
      <c r="C238" s="8"/>
    </row>
    <row r="239">
      <c r="B239" s="16"/>
      <c r="C239" s="8"/>
    </row>
    <row r="240">
      <c r="B240" s="16"/>
      <c r="C240" s="8"/>
    </row>
    <row r="241">
      <c r="B241" s="16"/>
      <c r="C241" s="8"/>
    </row>
    <row r="242">
      <c r="B242" s="16"/>
      <c r="C242" s="8"/>
    </row>
    <row r="243">
      <c r="B243" s="16"/>
      <c r="C243" s="8"/>
    </row>
    <row r="244">
      <c r="B244" s="16"/>
      <c r="C244" s="8"/>
    </row>
    <row r="245">
      <c r="B245" s="16"/>
      <c r="C245" s="8"/>
    </row>
    <row r="246">
      <c r="B246" s="16"/>
      <c r="C246" s="8"/>
    </row>
    <row r="247">
      <c r="B247" s="16"/>
      <c r="C247" s="8"/>
    </row>
    <row r="248">
      <c r="B248" s="16"/>
      <c r="C248" s="8"/>
    </row>
    <row r="249">
      <c r="B249" s="16"/>
      <c r="C249" s="8"/>
    </row>
    <row r="250">
      <c r="B250" s="16"/>
      <c r="C250" s="8"/>
    </row>
    <row r="251">
      <c r="B251" s="16"/>
      <c r="C251" s="8"/>
    </row>
    <row r="252">
      <c r="B252" s="16"/>
      <c r="C252" s="8"/>
    </row>
    <row r="253">
      <c r="B253" s="16"/>
      <c r="C253" s="8"/>
    </row>
    <row r="254">
      <c r="B254" s="16"/>
      <c r="C254" s="8"/>
    </row>
    <row r="255">
      <c r="B255" s="16"/>
      <c r="C255" s="8"/>
    </row>
    <row r="256">
      <c r="B256" s="16"/>
      <c r="C256" s="8"/>
    </row>
    <row r="257">
      <c r="B257" s="16"/>
      <c r="C257" s="8"/>
    </row>
    <row r="258">
      <c r="B258" s="16"/>
      <c r="C258" s="8"/>
    </row>
    <row r="259">
      <c r="B259" s="16"/>
      <c r="C259" s="8"/>
    </row>
    <row r="260">
      <c r="B260" s="16"/>
      <c r="C260" s="8"/>
    </row>
    <row r="261">
      <c r="B261" s="16"/>
      <c r="C261" s="8"/>
    </row>
    <row r="262">
      <c r="B262" s="16"/>
      <c r="C262" s="8"/>
    </row>
    <row r="263">
      <c r="B263" s="16"/>
      <c r="C263" s="8"/>
    </row>
    <row r="264">
      <c r="B264" s="16"/>
      <c r="C264" s="8"/>
    </row>
    <row r="265">
      <c r="B265" s="16"/>
      <c r="C265" s="8"/>
    </row>
    <row r="266">
      <c r="B266" s="16"/>
      <c r="C266" s="8"/>
    </row>
    <row r="267">
      <c r="B267" s="16"/>
      <c r="C267" s="8"/>
    </row>
    <row r="268">
      <c r="B268" s="16"/>
      <c r="C268" s="8"/>
    </row>
    <row r="269">
      <c r="B269" s="16"/>
      <c r="C269" s="8"/>
    </row>
    <row r="270">
      <c r="B270" s="16"/>
      <c r="C270" s="8"/>
    </row>
    <row r="271">
      <c r="B271" s="16"/>
      <c r="C271" s="8"/>
    </row>
    <row r="272">
      <c r="B272" s="16"/>
      <c r="C272" s="8"/>
    </row>
    <row r="273">
      <c r="B273" s="16"/>
      <c r="C273" s="8"/>
    </row>
    <row r="274">
      <c r="B274" s="16"/>
      <c r="C274" s="8"/>
    </row>
    <row r="275">
      <c r="B275" s="16"/>
      <c r="C275" s="8"/>
    </row>
    <row r="276">
      <c r="B276" s="16"/>
      <c r="C276" s="8"/>
    </row>
    <row r="277">
      <c r="B277" s="16"/>
      <c r="C277" s="8"/>
    </row>
    <row r="278">
      <c r="B278" s="16"/>
      <c r="C278" s="8"/>
    </row>
    <row r="279">
      <c r="B279" s="16"/>
      <c r="C279" s="8"/>
    </row>
    <row r="280">
      <c r="B280" s="16"/>
      <c r="C280" s="8"/>
    </row>
    <row r="281">
      <c r="B281" s="16"/>
      <c r="C281" s="8"/>
    </row>
    <row r="282">
      <c r="B282" s="16"/>
      <c r="C282" s="8"/>
    </row>
    <row r="283">
      <c r="B283" s="16"/>
      <c r="C283" s="8"/>
    </row>
    <row r="284">
      <c r="B284" s="16"/>
      <c r="C284" s="8"/>
    </row>
    <row r="285">
      <c r="B285" s="16"/>
      <c r="C285" s="8"/>
    </row>
    <row r="286">
      <c r="B286" s="16"/>
      <c r="C286" s="8"/>
    </row>
    <row r="287">
      <c r="B287" s="16"/>
      <c r="C287" s="8"/>
    </row>
    <row r="288">
      <c r="B288" s="16"/>
      <c r="C288" s="8"/>
    </row>
    <row r="289">
      <c r="B289" s="16"/>
      <c r="C289" s="8"/>
    </row>
    <row r="290">
      <c r="B290" s="16"/>
      <c r="C290" s="8"/>
    </row>
    <row r="291">
      <c r="B291" s="16"/>
      <c r="C291" s="8"/>
    </row>
    <row r="292">
      <c r="B292" s="16"/>
      <c r="C292" s="8"/>
    </row>
    <row r="293">
      <c r="B293" s="16"/>
      <c r="C293" s="8"/>
    </row>
    <row r="294">
      <c r="B294" s="16"/>
      <c r="C294" s="8"/>
    </row>
    <row r="295">
      <c r="B295" s="16"/>
      <c r="C295" s="8"/>
    </row>
    <row r="296">
      <c r="B296" s="16"/>
      <c r="C296" s="8"/>
    </row>
    <row r="297">
      <c r="B297" s="16"/>
      <c r="C297" s="8"/>
    </row>
    <row r="298">
      <c r="B298" s="16"/>
      <c r="C298" s="8"/>
    </row>
    <row r="299">
      <c r="B299" s="16"/>
      <c r="C299" s="8"/>
    </row>
    <row r="300">
      <c r="B300" s="16"/>
      <c r="C300" s="8"/>
    </row>
    <row r="301">
      <c r="B301" s="16"/>
      <c r="C301" s="8"/>
    </row>
    <row r="302">
      <c r="B302" s="16"/>
      <c r="C302" s="8"/>
    </row>
    <row r="303">
      <c r="B303" s="16"/>
      <c r="C303" s="8"/>
    </row>
    <row r="304">
      <c r="B304" s="16"/>
      <c r="C304" s="8"/>
    </row>
    <row r="305">
      <c r="B305" s="16"/>
      <c r="C305" s="8"/>
    </row>
    <row r="306">
      <c r="B306" s="16"/>
      <c r="C306" s="8"/>
    </row>
    <row r="307">
      <c r="B307" s="16"/>
      <c r="C307" s="8"/>
    </row>
    <row r="308">
      <c r="B308" s="16"/>
      <c r="C308" s="8"/>
    </row>
    <row r="309">
      <c r="B309" s="16"/>
      <c r="C309" s="8"/>
    </row>
    <row r="310">
      <c r="B310" s="16"/>
      <c r="C310" s="8"/>
    </row>
    <row r="311">
      <c r="B311" s="16"/>
      <c r="C311" s="8"/>
    </row>
    <row r="312">
      <c r="B312" s="16"/>
      <c r="C312" s="8"/>
    </row>
    <row r="313">
      <c r="B313" s="16"/>
      <c r="C313" s="8"/>
    </row>
    <row r="314">
      <c r="B314" s="16"/>
      <c r="C314" s="8"/>
    </row>
    <row r="315">
      <c r="B315" s="16"/>
      <c r="C315" s="8"/>
    </row>
    <row r="316">
      <c r="B316" s="16"/>
      <c r="C316" s="8"/>
    </row>
    <row r="317">
      <c r="B317" s="16"/>
      <c r="C317" s="8"/>
    </row>
    <row r="318">
      <c r="B318" s="16"/>
      <c r="C318" s="8"/>
    </row>
    <row r="319">
      <c r="B319" s="16"/>
      <c r="C319" s="8"/>
    </row>
    <row r="320">
      <c r="B320" s="16"/>
      <c r="C320" s="8"/>
    </row>
    <row r="321">
      <c r="B321" s="16"/>
      <c r="C321" s="8"/>
    </row>
    <row r="322">
      <c r="B322" s="16"/>
      <c r="C322" s="8"/>
    </row>
    <row r="323">
      <c r="B323" s="16"/>
      <c r="C323" s="8"/>
    </row>
    <row r="324">
      <c r="B324" s="16"/>
      <c r="C324" s="8"/>
    </row>
    <row r="325">
      <c r="B325" s="16"/>
      <c r="C325" s="8"/>
    </row>
    <row r="326">
      <c r="B326" s="16"/>
      <c r="C326" s="8"/>
    </row>
    <row r="327">
      <c r="B327" s="16"/>
      <c r="C327" s="8"/>
    </row>
    <row r="328">
      <c r="B328" s="16"/>
      <c r="C328" s="8"/>
    </row>
    <row r="329">
      <c r="B329" s="16"/>
      <c r="C329" s="8"/>
    </row>
    <row r="330">
      <c r="B330" s="16"/>
      <c r="C330" s="8"/>
    </row>
    <row r="331">
      <c r="B331" s="16"/>
      <c r="C331" s="8"/>
    </row>
    <row r="332">
      <c r="B332" s="16"/>
      <c r="C332" s="8"/>
    </row>
    <row r="333">
      <c r="B333" s="16"/>
      <c r="C333" s="8"/>
    </row>
    <row r="334">
      <c r="B334" s="16"/>
      <c r="C334" s="8"/>
    </row>
    <row r="335">
      <c r="B335" s="16"/>
      <c r="C335" s="8"/>
    </row>
    <row r="336">
      <c r="B336" s="16"/>
      <c r="C336" s="8"/>
    </row>
    <row r="337">
      <c r="B337" s="16"/>
      <c r="C337" s="8"/>
    </row>
    <row r="338">
      <c r="B338" s="16"/>
      <c r="C338" s="8"/>
    </row>
    <row r="339">
      <c r="B339" s="16"/>
      <c r="C339" s="8"/>
    </row>
    <row r="340">
      <c r="B340" s="16"/>
      <c r="C340" s="8"/>
    </row>
    <row r="341">
      <c r="B341" s="16"/>
      <c r="C341" s="8"/>
    </row>
    <row r="342">
      <c r="B342" s="16"/>
      <c r="C342" s="8"/>
    </row>
    <row r="343">
      <c r="B343" s="16"/>
      <c r="C343" s="8"/>
    </row>
    <row r="344">
      <c r="B344" s="16"/>
      <c r="C344" s="8"/>
    </row>
    <row r="345">
      <c r="B345" s="16"/>
      <c r="C345" s="8"/>
    </row>
    <row r="346">
      <c r="B346" s="16"/>
      <c r="C346" s="8"/>
    </row>
    <row r="347">
      <c r="B347" s="16"/>
      <c r="C347" s="8"/>
    </row>
    <row r="348">
      <c r="B348" s="16"/>
      <c r="C348" s="8"/>
    </row>
    <row r="349">
      <c r="B349" s="16"/>
      <c r="C349" s="8"/>
    </row>
    <row r="350">
      <c r="B350" s="16"/>
      <c r="C350" s="8"/>
    </row>
    <row r="351">
      <c r="B351" s="16"/>
      <c r="C351" s="8"/>
    </row>
    <row r="352">
      <c r="B352" s="16"/>
      <c r="C352" s="8"/>
    </row>
    <row r="353">
      <c r="B353" s="16"/>
      <c r="C353" s="8"/>
    </row>
    <row r="354">
      <c r="B354" s="16"/>
      <c r="C354" s="8"/>
    </row>
    <row r="355">
      <c r="B355" s="16"/>
      <c r="C355" s="8"/>
    </row>
    <row r="356">
      <c r="B356" s="16"/>
      <c r="C356" s="8"/>
    </row>
    <row r="357">
      <c r="B357" s="16"/>
      <c r="C357" s="8"/>
    </row>
    <row r="358">
      <c r="B358" s="16"/>
      <c r="C358" s="8"/>
    </row>
    <row r="359">
      <c r="B359" s="16"/>
      <c r="C359" s="8"/>
    </row>
    <row r="360">
      <c r="B360" s="16"/>
      <c r="C360" s="8"/>
    </row>
    <row r="361">
      <c r="B361" s="16"/>
      <c r="C361" s="8"/>
    </row>
    <row r="362">
      <c r="B362" s="16"/>
      <c r="C362" s="8"/>
    </row>
    <row r="363">
      <c r="B363" s="16"/>
      <c r="C363" s="8"/>
    </row>
    <row r="364">
      <c r="B364" s="16"/>
      <c r="C364" s="8"/>
    </row>
    <row r="365">
      <c r="B365" s="16"/>
      <c r="C365" s="8"/>
    </row>
    <row r="366">
      <c r="B366" s="16"/>
      <c r="C366" s="8"/>
    </row>
    <row r="367">
      <c r="B367" s="16"/>
      <c r="C367" s="8"/>
    </row>
    <row r="368">
      <c r="B368" s="16"/>
      <c r="C368" s="8"/>
    </row>
    <row r="369">
      <c r="B369" s="16"/>
      <c r="C369" s="8"/>
    </row>
    <row r="370">
      <c r="B370" s="16"/>
      <c r="C370" s="8"/>
    </row>
    <row r="371">
      <c r="B371" s="16"/>
      <c r="C371" s="8"/>
    </row>
    <row r="372">
      <c r="B372" s="16"/>
      <c r="C372" s="8"/>
    </row>
    <row r="373">
      <c r="B373" s="16"/>
      <c r="C373" s="8"/>
    </row>
    <row r="374">
      <c r="B374" s="16"/>
      <c r="C374" s="8"/>
    </row>
    <row r="375">
      <c r="B375" s="16"/>
      <c r="C375" s="8"/>
    </row>
    <row r="376">
      <c r="B376" s="16"/>
      <c r="C376" s="8"/>
    </row>
    <row r="377">
      <c r="B377" s="16"/>
      <c r="C377" s="8"/>
    </row>
    <row r="378">
      <c r="B378" s="16"/>
      <c r="C378" s="8"/>
    </row>
    <row r="379">
      <c r="B379" s="16"/>
      <c r="C379" s="8"/>
    </row>
    <row r="380">
      <c r="B380" s="16"/>
      <c r="C380" s="8"/>
    </row>
    <row r="381">
      <c r="B381" s="16"/>
      <c r="C381" s="8"/>
    </row>
    <row r="382">
      <c r="B382" s="16"/>
      <c r="C382" s="8"/>
    </row>
    <row r="383">
      <c r="B383" s="16"/>
      <c r="C383" s="8"/>
    </row>
    <row r="384">
      <c r="B384" s="16"/>
      <c r="C384" s="8"/>
    </row>
    <row r="385">
      <c r="B385" s="16"/>
      <c r="C385" s="8"/>
    </row>
    <row r="386">
      <c r="B386" s="16"/>
      <c r="C386" s="8"/>
    </row>
    <row r="387">
      <c r="B387" s="16"/>
      <c r="C387" s="8"/>
    </row>
    <row r="388">
      <c r="B388" s="16"/>
      <c r="C388" s="8"/>
    </row>
    <row r="389">
      <c r="B389" s="16"/>
      <c r="C389" s="8"/>
    </row>
    <row r="390">
      <c r="B390" s="16"/>
      <c r="C390" s="8"/>
    </row>
    <row r="391">
      <c r="B391" s="16"/>
      <c r="C391" s="8"/>
    </row>
    <row r="392">
      <c r="B392" s="16"/>
      <c r="C392" s="8"/>
    </row>
    <row r="393">
      <c r="B393" s="16"/>
      <c r="C393" s="8"/>
    </row>
    <row r="394">
      <c r="B394" s="16"/>
      <c r="C394" s="8"/>
    </row>
    <row r="395">
      <c r="B395" s="16"/>
      <c r="C395" s="8"/>
    </row>
    <row r="396">
      <c r="B396" s="16"/>
      <c r="C396" s="8"/>
    </row>
    <row r="397">
      <c r="B397" s="16"/>
      <c r="C397" s="8"/>
    </row>
    <row r="398">
      <c r="B398" s="16"/>
      <c r="C398" s="8"/>
    </row>
    <row r="399">
      <c r="B399" s="16"/>
      <c r="C399" s="8"/>
    </row>
    <row r="400">
      <c r="B400" s="16"/>
      <c r="C400" s="8"/>
    </row>
    <row r="401">
      <c r="B401" s="16"/>
      <c r="C401" s="8"/>
    </row>
    <row r="402">
      <c r="B402" s="16"/>
      <c r="C402" s="8"/>
    </row>
    <row r="403">
      <c r="B403" s="16"/>
      <c r="C403" s="8"/>
    </row>
    <row r="404">
      <c r="B404" s="16"/>
      <c r="C404" s="8"/>
    </row>
    <row r="405">
      <c r="B405" s="16"/>
      <c r="C405" s="8"/>
    </row>
    <row r="406">
      <c r="B406" s="16"/>
      <c r="C406" s="8"/>
    </row>
    <row r="407">
      <c r="B407" s="16"/>
      <c r="C407" s="8"/>
    </row>
    <row r="408">
      <c r="B408" s="16"/>
      <c r="C408" s="8"/>
    </row>
    <row r="409">
      <c r="B409" s="16"/>
      <c r="C409" s="8"/>
    </row>
    <row r="410">
      <c r="B410" s="16"/>
      <c r="C410" s="8"/>
    </row>
    <row r="411">
      <c r="B411" s="16"/>
      <c r="C411" s="8"/>
    </row>
    <row r="412">
      <c r="B412" s="16"/>
      <c r="C412" s="8"/>
    </row>
    <row r="413">
      <c r="B413" s="16"/>
      <c r="C413" s="8"/>
    </row>
    <row r="414">
      <c r="B414" s="16"/>
      <c r="C414" s="8"/>
    </row>
    <row r="415">
      <c r="B415" s="16"/>
      <c r="C415" s="8"/>
    </row>
    <row r="416">
      <c r="B416" s="16"/>
      <c r="C416" s="8"/>
    </row>
    <row r="417">
      <c r="B417" s="16"/>
      <c r="C417" s="8"/>
    </row>
    <row r="418">
      <c r="B418" s="16"/>
      <c r="C418" s="8"/>
    </row>
    <row r="419">
      <c r="B419" s="16"/>
      <c r="C419" s="8"/>
    </row>
    <row r="420">
      <c r="B420" s="16"/>
      <c r="C420" s="8"/>
    </row>
    <row r="421">
      <c r="B421" s="16"/>
      <c r="C421" s="8"/>
    </row>
    <row r="422">
      <c r="B422" s="16"/>
      <c r="C422" s="8"/>
    </row>
    <row r="423">
      <c r="B423" s="16"/>
      <c r="C423" s="8"/>
    </row>
    <row r="424">
      <c r="B424" s="16"/>
      <c r="C424" s="8"/>
    </row>
    <row r="425">
      <c r="B425" s="16"/>
      <c r="C425" s="8"/>
    </row>
    <row r="426">
      <c r="B426" s="16"/>
      <c r="C426" s="8"/>
    </row>
    <row r="427">
      <c r="B427" s="16"/>
      <c r="C427" s="8"/>
    </row>
    <row r="428">
      <c r="B428" s="16"/>
      <c r="C428" s="8"/>
    </row>
    <row r="429">
      <c r="B429" s="16"/>
      <c r="C429" s="8"/>
    </row>
    <row r="430">
      <c r="B430" s="16"/>
      <c r="C430" s="8"/>
    </row>
    <row r="431">
      <c r="B431" s="16"/>
      <c r="C431" s="8"/>
    </row>
    <row r="432">
      <c r="B432" s="16"/>
      <c r="C432" s="8"/>
    </row>
    <row r="433">
      <c r="B433" s="16"/>
      <c r="C433" s="8"/>
    </row>
    <row r="434">
      <c r="B434" s="16"/>
      <c r="C434" s="8"/>
    </row>
    <row r="435">
      <c r="B435" s="16"/>
      <c r="C435" s="8"/>
    </row>
    <row r="436">
      <c r="B436" s="16"/>
      <c r="C436" s="8"/>
    </row>
    <row r="437">
      <c r="B437" s="16"/>
      <c r="C437" s="8"/>
    </row>
    <row r="438">
      <c r="B438" s="16"/>
      <c r="C438" s="8"/>
    </row>
    <row r="439">
      <c r="B439" s="16"/>
      <c r="C439" s="8"/>
    </row>
    <row r="440">
      <c r="B440" s="16"/>
      <c r="C440" s="8"/>
    </row>
    <row r="441">
      <c r="B441" s="16"/>
      <c r="C441" s="8"/>
    </row>
    <row r="442">
      <c r="B442" s="16"/>
      <c r="C442" s="8"/>
    </row>
    <row r="443">
      <c r="B443" s="16"/>
      <c r="C443" s="8"/>
    </row>
    <row r="444">
      <c r="B444" s="16"/>
      <c r="C444" s="8"/>
    </row>
    <row r="445">
      <c r="B445" s="16"/>
      <c r="C445" s="8"/>
    </row>
    <row r="446">
      <c r="B446" s="16"/>
      <c r="C446" s="8"/>
    </row>
    <row r="447">
      <c r="B447" s="16"/>
      <c r="C447" s="8"/>
    </row>
    <row r="448">
      <c r="B448" s="16"/>
      <c r="C448" s="8"/>
    </row>
    <row r="449">
      <c r="B449" s="16"/>
      <c r="C449" s="8"/>
    </row>
    <row r="450">
      <c r="B450" s="16"/>
      <c r="C450" s="8"/>
    </row>
    <row r="451">
      <c r="B451" s="16"/>
      <c r="C451" s="8"/>
    </row>
    <row r="452">
      <c r="B452" s="16"/>
      <c r="C452" s="8"/>
    </row>
    <row r="453">
      <c r="B453" s="16"/>
      <c r="C453" s="8"/>
    </row>
    <row r="454">
      <c r="B454" s="16"/>
      <c r="C454" s="8"/>
    </row>
    <row r="455">
      <c r="B455" s="16"/>
      <c r="C455" s="8"/>
    </row>
    <row r="456">
      <c r="B456" s="16"/>
      <c r="C456" s="8"/>
    </row>
    <row r="457">
      <c r="B457" s="16"/>
      <c r="C457" s="8"/>
    </row>
    <row r="458">
      <c r="B458" s="16"/>
      <c r="C458" s="8"/>
    </row>
    <row r="459">
      <c r="B459" s="16"/>
      <c r="C459" s="8"/>
    </row>
    <row r="460">
      <c r="B460" s="16"/>
      <c r="C460" s="8"/>
    </row>
    <row r="461">
      <c r="B461" s="16"/>
      <c r="C461" s="8"/>
    </row>
    <row r="462">
      <c r="B462" s="16"/>
      <c r="C462" s="8"/>
    </row>
    <row r="463">
      <c r="B463" s="16"/>
      <c r="C463" s="8"/>
    </row>
    <row r="464">
      <c r="B464" s="16"/>
      <c r="C464" s="8"/>
    </row>
    <row r="465">
      <c r="B465" s="16"/>
      <c r="C465" s="8"/>
    </row>
    <row r="466">
      <c r="B466" s="16"/>
      <c r="C466" s="8"/>
    </row>
    <row r="467">
      <c r="B467" s="16"/>
      <c r="C467" s="8"/>
    </row>
    <row r="468">
      <c r="B468" s="16"/>
      <c r="C468" s="8"/>
    </row>
    <row r="469">
      <c r="B469" s="16"/>
      <c r="C469" s="8"/>
    </row>
    <row r="470">
      <c r="B470" s="16"/>
      <c r="C470" s="8"/>
    </row>
    <row r="471">
      <c r="B471" s="16"/>
      <c r="C471" s="8"/>
    </row>
    <row r="472">
      <c r="B472" s="16"/>
      <c r="C472" s="8"/>
    </row>
    <row r="473">
      <c r="B473" s="16"/>
      <c r="C473" s="8"/>
    </row>
    <row r="474">
      <c r="B474" s="16"/>
      <c r="C474" s="8"/>
    </row>
    <row r="475">
      <c r="B475" s="16"/>
      <c r="C475" s="8"/>
    </row>
    <row r="476">
      <c r="B476" s="16"/>
      <c r="C476" s="8"/>
    </row>
    <row r="477">
      <c r="B477" s="16"/>
      <c r="C477" s="8"/>
    </row>
    <row r="478">
      <c r="B478" s="16"/>
      <c r="C478" s="8"/>
    </row>
    <row r="479">
      <c r="B479" s="16"/>
      <c r="C479" s="8"/>
    </row>
    <row r="480">
      <c r="B480" s="16"/>
      <c r="C480" s="8"/>
    </row>
    <row r="481">
      <c r="B481" s="16"/>
      <c r="C481" s="8"/>
    </row>
    <row r="482">
      <c r="B482" s="16"/>
      <c r="C482" s="8"/>
    </row>
    <row r="483">
      <c r="B483" s="16"/>
      <c r="C483" s="8"/>
    </row>
    <row r="484">
      <c r="B484" s="16"/>
      <c r="C484" s="8"/>
    </row>
    <row r="485">
      <c r="B485" s="16"/>
      <c r="C485" s="8"/>
    </row>
    <row r="486">
      <c r="B486" s="16"/>
      <c r="C486" s="8"/>
    </row>
    <row r="487">
      <c r="B487" s="16"/>
      <c r="C487" s="8"/>
    </row>
    <row r="488">
      <c r="B488" s="16"/>
      <c r="C488" s="8"/>
    </row>
    <row r="489">
      <c r="B489" s="16"/>
      <c r="C489" s="8"/>
    </row>
    <row r="490">
      <c r="B490" s="16"/>
      <c r="C490" s="8"/>
    </row>
    <row r="491">
      <c r="B491" s="16"/>
      <c r="C491" s="8"/>
    </row>
    <row r="492">
      <c r="B492" s="16"/>
      <c r="C492" s="8"/>
    </row>
    <row r="493">
      <c r="B493" s="16"/>
      <c r="C493" s="8"/>
    </row>
    <row r="494">
      <c r="B494" s="16"/>
      <c r="C494" s="8"/>
    </row>
    <row r="495">
      <c r="B495" s="16"/>
      <c r="C495" s="8"/>
    </row>
    <row r="496">
      <c r="B496" s="16"/>
      <c r="C496" s="8"/>
    </row>
    <row r="497">
      <c r="B497" s="16"/>
      <c r="C497" s="8"/>
    </row>
    <row r="498">
      <c r="B498" s="16"/>
      <c r="C498" s="8"/>
    </row>
    <row r="499">
      <c r="B499" s="16"/>
      <c r="C499" s="8"/>
    </row>
    <row r="500">
      <c r="B500" s="16"/>
      <c r="C500" s="8"/>
    </row>
    <row r="501">
      <c r="B501" s="16"/>
      <c r="C501" s="8"/>
    </row>
    <row r="502">
      <c r="B502" s="16"/>
      <c r="C502" s="8"/>
    </row>
    <row r="503">
      <c r="B503" s="16"/>
      <c r="C503" s="8"/>
    </row>
    <row r="504">
      <c r="B504" s="16"/>
      <c r="C504" s="8"/>
    </row>
    <row r="505">
      <c r="B505" s="16"/>
      <c r="C505" s="8"/>
    </row>
    <row r="506">
      <c r="B506" s="16"/>
      <c r="C506" s="8"/>
    </row>
    <row r="507">
      <c r="B507" s="16"/>
      <c r="C507" s="8"/>
    </row>
    <row r="508">
      <c r="B508" s="16"/>
      <c r="C508" s="8"/>
    </row>
    <row r="509">
      <c r="B509" s="16"/>
      <c r="C509" s="8"/>
    </row>
    <row r="510">
      <c r="B510" s="16"/>
      <c r="C510" s="8"/>
    </row>
    <row r="511">
      <c r="B511" s="16"/>
      <c r="C511" s="8"/>
    </row>
    <row r="512">
      <c r="B512" s="16"/>
      <c r="C512" s="8"/>
    </row>
    <row r="513">
      <c r="B513" s="16"/>
      <c r="C513" s="8"/>
    </row>
    <row r="514">
      <c r="B514" s="16"/>
      <c r="C514" s="8"/>
    </row>
    <row r="515">
      <c r="B515" s="16"/>
      <c r="C515" s="8"/>
    </row>
    <row r="516">
      <c r="B516" s="16"/>
      <c r="C516" s="8"/>
    </row>
    <row r="517">
      <c r="B517" s="16"/>
      <c r="C517" s="8"/>
    </row>
    <row r="518">
      <c r="B518" s="16"/>
      <c r="C518" s="8"/>
    </row>
    <row r="519">
      <c r="B519" s="16"/>
      <c r="C519" s="8"/>
    </row>
    <row r="520">
      <c r="B520" s="16"/>
      <c r="C520" s="8"/>
    </row>
    <row r="521">
      <c r="B521" s="16"/>
      <c r="C521" s="8"/>
    </row>
    <row r="522">
      <c r="B522" s="16"/>
      <c r="C522" s="8"/>
    </row>
    <row r="523">
      <c r="B523" s="16"/>
      <c r="C523" s="8"/>
    </row>
    <row r="524">
      <c r="B524" s="16"/>
      <c r="C524" s="8"/>
    </row>
    <row r="525">
      <c r="B525" s="16"/>
      <c r="C525" s="8"/>
    </row>
    <row r="526">
      <c r="B526" s="16"/>
      <c r="C526" s="8"/>
    </row>
    <row r="527">
      <c r="B527" s="16"/>
      <c r="C527" s="8"/>
    </row>
    <row r="528">
      <c r="B528" s="16"/>
      <c r="C528" s="8"/>
    </row>
    <row r="529">
      <c r="B529" s="16"/>
      <c r="C529" s="8"/>
    </row>
    <row r="530">
      <c r="B530" s="16"/>
      <c r="C530" s="8"/>
    </row>
    <row r="531">
      <c r="B531" s="16"/>
      <c r="C531" s="8"/>
    </row>
    <row r="532">
      <c r="B532" s="16"/>
      <c r="C532" s="8"/>
    </row>
    <row r="533">
      <c r="B533" s="16"/>
      <c r="C533" s="8"/>
    </row>
    <row r="534">
      <c r="B534" s="16"/>
      <c r="C534" s="8"/>
    </row>
    <row r="535">
      <c r="B535" s="16"/>
      <c r="C535" s="8"/>
    </row>
    <row r="536">
      <c r="B536" s="16"/>
      <c r="C536" s="8"/>
    </row>
    <row r="537">
      <c r="B537" s="16"/>
      <c r="C537" s="8"/>
    </row>
    <row r="538">
      <c r="B538" s="16"/>
      <c r="C538" s="8"/>
    </row>
    <row r="539">
      <c r="B539" s="16"/>
      <c r="C539" s="8"/>
    </row>
    <row r="540">
      <c r="B540" s="16"/>
      <c r="C540" s="8"/>
    </row>
    <row r="541">
      <c r="B541" s="16"/>
      <c r="C541" s="8"/>
    </row>
    <row r="542">
      <c r="B542" s="16"/>
      <c r="C542" s="8"/>
    </row>
    <row r="543">
      <c r="B543" s="16"/>
      <c r="C543" s="8"/>
    </row>
    <row r="544">
      <c r="B544" s="16"/>
      <c r="C544" s="8"/>
    </row>
    <row r="545">
      <c r="B545" s="16"/>
      <c r="C545" s="8"/>
    </row>
    <row r="546">
      <c r="B546" s="16"/>
      <c r="C546" s="8"/>
    </row>
    <row r="547">
      <c r="B547" s="16"/>
      <c r="C547" s="8"/>
    </row>
    <row r="548">
      <c r="B548" s="16"/>
      <c r="C548" s="8"/>
    </row>
    <row r="549">
      <c r="B549" s="16"/>
      <c r="C549" s="8"/>
    </row>
    <row r="550">
      <c r="B550" s="16"/>
      <c r="C550" s="8"/>
    </row>
    <row r="551">
      <c r="B551" s="16"/>
      <c r="C551" s="8"/>
    </row>
    <row r="552">
      <c r="B552" s="16"/>
      <c r="C552" s="8"/>
    </row>
    <row r="553">
      <c r="B553" s="16"/>
      <c r="C553" s="8"/>
    </row>
    <row r="554">
      <c r="B554" s="16"/>
      <c r="C554" s="8"/>
    </row>
    <row r="555">
      <c r="B555" s="16"/>
      <c r="C555" s="8"/>
    </row>
    <row r="556">
      <c r="B556" s="16"/>
      <c r="C556" s="8"/>
    </row>
    <row r="557">
      <c r="B557" s="16"/>
      <c r="C557" s="8"/>
    </row>
    <row r="558">
      <c r="B558" s="16"/>
      <c r="C558" s="8"/>
    </row>
    <row r="559">
      <c r="B559" s="16"/>
      <c r="C559" s="8"/>
    </row>
    <row r="560">
      <c r="B560" s="16"/>
      <c r="C560" s="8"/>
    </row>
    <row r="561">
      <c r="B561" s="16"/>
      <c r="C561" s="8"/>
    </row>
    <row r="562">
      <c r="B562" s="16"/>
      <c r="C562" s="8"/>
    </row>
    <row r="563">
      <c r="B563" s="16"/>
      <c r="C563" s="8"/>
    </row>
    <row r="564">
      <c r="B564" s="16"/>
      <c r="C564" s="8"/>
    </row>
    <row r="565">
      <c r="B565" s="16"/>
      <c r="C565" s="8"/>
    </row>
    <row r="566">
      <c r="B566" s="16"/>
      <c r="C566" s="8"/>
    </row>
    <row r="567">
      <c r="B567" s="16"/>
      <c r="C567" s="8"/>
    </row>
    <row r="568">
      <c r="B568" s="16"/>
      <c r="C568" s="8"/>
    </row>
    <row r="569">
      <c r="B569" s="16"/>
      <c r="C569" s="8"/>
    </row>
    <row r="570">
      <c r="B570" s="16"/>
      <c r="C570" s="8"/>
    </row>
    <row r="571">
      <c r="B571" s="16"/>
      <c r="C571" s="8"/>
    </row>
    <row r="572">
      <c r="B572" s="16"/>
      <c r="C572" s="8"/>
    </row>
    <row r="573">
      <c r="B573" s="16"/>
      <c r="C573" s="8"/>
    </row>
    <row r="574">
      <c r="B574" s="16"/>
      <c r="C574" s="8"/>
    </row>
    <row r="575">
      <c r="B575" s="16"/>
      <c r="C575" s="8"/>
    </row>
    <row r="576">
      <c r="B576" s="16"/>
      <c r="C576" s="8"/>
    </row>
    <row r="577">
      <c r="B577" s="16"/>
      <c r="C577" s="8"/>
    </row>
    <row r="578">
      <c r="B578" s="16"/>
      <c r="C578" s="8"/>
    </row>
    <row r="579">
      <c r="B579" s="16"/>
      <c r="C579" s="8"/>
    </row>
    <row r="580">
      <c r="B580" s="16"/>
      <c r="C580" s="8"/>
    </row>
    <row r="581">
      <c r="B581" s="16"/>
      <c r="C581" s="8"/>
    </row>
    <row r="582">
      <c r="B582" s="16"/>
      <c r="C582" s="8"/>
    </row>
    <row r="583">
      <c r="B583" s="16"/>
      <c r="C583" s="8"/>
    </row>
    <row r="584">
      <c r="B584" s="16"/>
      <c r="C584" s="8"/>
    </row>
    <row r="585">
      <c r="B585" s="16"/>
      <c r="C585" s="8"/>
    </row>
    <row r="586">
      <c r="B586" s="16"/>
      <c r="C586" s="8"/>
    </row>
    <row r="587">
      <c r="B587" s="16"/>
      <c r="C587" s="8"/>
    </row>
    <row r="588">
      <c r="B588" s="16"/>
      <c r="C588" s="8"/>
    </row>
    <row r="589">
      <c r="B589" s="16"/>
      <c r="C589" s="8"/>
    </row>
    <row r="590">
      <c r="B590" s="16"/>
      <c r="C590" s="8"/>
    </row>
    <row r="591">
      <c r="B591" s="16"/>
      <c r="C591" s="8"/>
    </row>
    <row r="592">
      <c r="B592" s="16"/>
      <c r="C592" s="8"/>
    </row>
    <row r="593">
      <c r="B593" s="16"/>
      <c r="C593" s="8"/>
    </row>
    <row r="594">
      <c r="B594" s="16"/>
      <c r="C594" s="8"/>
    </row>
    <row r="595">
      <c r="B595" s="16"/>
      <c r="C595" s="8"/>
    </row>
    <row r="596">
      <c r="B596" s="16"/>
      <c r="C596" s="8"/>
    </row>
    <row r="597">
      <c r="B597" s="16"/>
      <c r="C597" s="8"/>
    </row>
    <row r="598">
      <c r="B598" s="16"/>
      <c r="C598" s="8"/>
    </row>
    <row r="599">
      <c r="B599" s="16"/>
      <c r="C599" s="8"/>
    </row>
    <row r="600">
      <c r="B600" s="16"/>
      <c r="C600" s="8"/>
    </row>
    <row r="601">
      <c r="B601" s="16"/>
      <c r="C601" s="8"/>
    </row>
    <row r="602">
      <c r="B602" s="16"/>
      <c r="C602" s="8"/>
    </row>
    <row r="603">
      <c r="B603" s="16"/>
      <c r="C603" s="8"/>
    </row>
    <row r="604">
      <c r="B604" s="16"/>
      <c r="C604" s="8"/>
    </row>
    <row r="605">
      <c r="B605" s="16"/>
      <c r="C605" s="8"/>
    </row>
    <row r="606">
      <c r="B606" s="16"/>
      <c r="C606" s="8"/>
    </row>
    <row r="607">
      <c r="B607" s="16"/>
      <c r="C607" s="8"/>
    </row>
    <row r="608">
      <c r="B608" s="16"/>
      <c r="C608" s="8"/>
    </row>
    <row r="609">
      <c r="B609" s="16"/>
      <c r="C609" s="8"/>
    </row>
    <row r="610">
      <c r="B610" s="16"/>
      <c r="C610" s="8"/>
    </row>
    <row r="611">
      <c r="B611" s="16"/>
      <c r="C611" s="8"/>
    </row>
    <row r="612">
      <c r="B612" s="16"/>
      <c r="C612" s="8"/>
    </row>
    <row r="613">
      <c r="B613" s="16"/>
      <c r="C613" s="8"/>
    </row>
    <row r="614">
      <c r="B614" s="16"/>
      <c r="C614" s="8"/>
    </row>
    <row r="615">
      <c r="B615" s="16"/>
      <c r="C615" s="8"/>
    </row>
    <row r="616">
      <c r="B616" s="16"/>
      <c r="C616" s="8"/>
    </row>
    <row r="617">
      <c r="B617" s="16"/>
      <c r="C617" s="8"/>
    </row>
    <row r="618">
      <c r="B618" s="16"/>
      <c r="C618" s="8"/>
    </row>
    <row r="619">
      <c r="B619" s="16"/>
      <c r="C619" s="8"/>
    </row>
    <row r="620">
      <c r="B620" s="16"/>
      <c r="C620" s="8"/>
    </row>
    <row r="621">
      <c r="B621" s="16"/>
      <c r="C621" s="8"/>
    </row>
    <row r="622">
      <c r="B622" s="16"/>
      <c r="C622" s="8"/>
    </row>
    <row r="623">
      <c r="B623" s="16"/>
      <c r="C623" s="8"/>
    </row>
    <row r="624">
      <c r="B624" s="16"/>
      <c r="C624" s="8"/>
    </row>
    <row r="625">
      <c r="B625" s="16"/>
      <c r="C625" s="8"/>
    </row>
    <row r="626">
      <c r="B626" s="16"/>
      <c r="C626" s="8"/>
    </row>
    <row r="627">
      <c r="B627" s="16"/>
      <c r="C627" s="8"/>
    </row>
    <row r="628">
      <c r="B628" s="16"/>
      <c r="C628" s="8"/>
    </row>
    <row r="629">
      <c r="B629" s="16"/>
      <c r="C629" s="8"/>
    </row>
    <row r="630">
      <c r="B630" s="16"/>
      <c r="C630" s="8"/>
    </row>
    <row r="631">
      <c r="B631" s="16"/>
      <c r="C631" s="8"/>
    </row>
    <row r="632">
      <c r="B632" s="16"/>
      <c r="C632" s="8"/>
    </row>
    <row r="633">
      <c r="B633" s="16"/>
      <c r="C633" s="8"/>
    </row>
    <row r="634">
      <c r="B634" s="16"/>
      <c r="C634" s="8"/>
    </row>
    <row r="635">
      <c r="B635" s="16"/>
      <c r="C635" s="8"/>
    </row>
    <row r="636">
      <c r="B636" s="16"/>
      <c r="C636" s="8"/>
    </row>
    <row r="637">
      <c r="B637" s="16"/>
      <c r="C637" s="8"/>
    </row>
    <row r="638">
      <c r="B638" s="16"/>
      <c r="C638" s="8"/>
    </row>
    <row r="639">
      <c r="B639" s="16"/>
      <c r="C639" s="8"/>
    </row>
    <row r="640">
      <c r="B640" s="16"/>
      <c r="C640" s="8"/>
    </row>
    <row r="641">
      <c r="B641" s="16"/>
      <c r="C641" s="8"/>
    </row>
    <row r="642">
      <c r="B642" s="16"/>
      <c r="C642" s="8"/>
    </row>
    <row r="643">
      <c r="B643" s="16"/>
      <c r="C643" s="8"/>
    </row>
    <row r="644">
      <c r="B644" s="16"/>
      <c r="C644" s="8"/>
    </row>
    <row r="645">
      <c r="B645" s="16"/>
      <c r="C645" s="8"/>
    </row>
    <row r="646">
      <c r="B646" s="16"/>
      <c r="C646" s="8"/>
    </row>
    <row r="647">
      <c r="B647" s="16"/>
      <c r="C647" s="8"/>
    </row>
    <row r="648">
      <c r="B648" s="16"/>
      <c r="C648" s="8"/>
    </row>
    <row r="649">
      <c r="B649" s="16"/>
      <c r="C649" s="8"/>
    </row>
    <row r="650">
      <c r="B650" s="16"/>
      <c r="C650" s="8"/>
    </row>
    <row r="651">
      <c r="B651" s="16"/>
      <c r="C651" s="8"/>
    </row>
    <row r="652">
      <c r="B652" s="16"/>
      <c r="C652" s="8"/>
    </row>
    <row r="653">
      <c r="B653" s="16"/>
      <c r="C653" s="8"/>
    </row>
    <row r="654">
      <c r="B654" s="16"/>
      <c r="C654" s="8"/>
    </row>
    <row r="655">
      <c r="B655" s="16"/>
      <c r="C655" s="8"/>
    </row>
    <row r="656">
      <c r="B656" s="16"/>
      <c r="C656" s="8"/>
    </row>
    <row r="657">
      <c r="B657" s="16"/>
      <c r="C657" s="8"/>
    </row>
    <row r="658">
      <c r="B658" s="16"/>
      <c r="C658" s="8"/>
    </row>
    <row r="659">
      <c r="B659" s="16"/>
      <c r="C659" s="8"/>
    </row>
    <row r="660">
      <c r="B660" s="16"/>
      <c r="C660" s="8"/>
    </row>
    <row r="661">
      <c r="B661" s="16"/>
      <c r="C661" s="8"/>
    </row>
    <row r="662">
      <c r="B662" s="16"/>
      <c r="C662" s="8"/>
    </row>
    <row r="663">
      <c r="B663" s="16"/>
      <c r="C663" s="8"/>
    </row>
    <row r="664">
      <c r="B664" s="16"/>
      <c r="C664" s="8"/>
    </row>
    <row r="665">
      <c r="B665" s="16"/>
      <c r="C665" s="8"/>
    </row>
    <row r="666">
      <c r="B666" s="16"/>
      <c r="C666" s="8"/>
    </row>
    <row r="667">
      <c r="B667" s="16"/>
      <c r="C667" s="8"/>
    </row>
    <row r="668">
      <c r="B668" s="16"/>
      <c r="C668" s="8"/>
    </row>
    <row r="669">
      <c r="B669" s="16"/>
      <c r="C669" s="8"/>
    </row>
    <row r="670">
      <c r="B670" s="16"/>
      <c r="C670" s="8"/>
    </row>
    <row r="671">
      <c r="B671" s="16"/>
      <c r="C671" s="8"/>
    </row>
    <row r="672">
      <c r="B672" s="16"/>
      <c r="C672" s="8"/>
    </row>
    <row r="673">
      <c r="B673" s="16"/>
      <c r="C673" s="8"/>
    </row>
    <row r="674">
      <c r="B674" s="16"/>
      <c r="C674" s="8"/>
    </row>
    <row r="675">
      <c r="B675" s="16"/>
      <c r="C675" s="8"/>
    </row>
    <row r="676">
      <c r="B676" s="16"/>
      <c r="C676" s="8"/>
    </row>
    <row r="677">
      <c r="B677" s="16"/>
      <c r="C677" s="8"/>
    </row>
    <row r="678">
      <c r="B678" s="16"/>
      <c r="C678" s="8"/>
    </row>
    <row r="679">
      <c r="B679" s="16"/>
      <c r="C679" s="8"/>
    </row>
    <row r="680">
      <c r="B680" s="16"/>
      <c r="C680" s="8"/>
    </row>
    <row r="681">
      <c r="B681" s="16"/>
      <c r="C681" s="8"/>
    </row>
    <row r="682">
      <c r="B682" s="16"/>
      <c r="C682" s="8"/>
    </row>
    <row r="683">
      <c r="B683" s="16"/>
      <c r="C683" s="8"/>
    </row>
    <row r="684">
      <c r="B684" s="16"/>
      <c r="C684" s="8"/>
    </row>
    <row r="685">
      <c r="B685" s="16"/>
      <c r="C685" s="8"/>
    </row>
    <row r="686">
      <c r="B686" s="16"/>
      <c r="C686" s="8"/>
    </row>
    <row r="687">
      <c r="B687" s="16"/>
      <c r="C687" s="8"/>
    </row>
    <row r="688">
      <c r="B688" s="16"/>
      <c r="C688" s="8"/>
    </row>
    <row r="689">
      <c r="B689" s="16"/>
      <c r="C689" s="8"/>
    </row>
    <row r="690">
      <c r="B690" s="16"/>
      <c r="C690" s="8"/>
    </row>
    <row r="691">
      <c r="B691" s="16"/>
      <c r="C691" s="8"/>
    </row>
    <row r="692">
      <c r="B692" s="16"/>
      <c r="C692" s="8"/>
    </row>
    <row r="693">
      <c r="B693" s="16"/>
      <c r="C693" s="8"/>
    </row>
    <row r="694">
      <c r="B694" s="16"/>
      <c r="C694" s="8"/>
    </row>
    <row r="695">
      <c r="B695" s="16"/>
      <c r="C695" s="8"/>
    </row>
    <row r="696">
      <c r="B696" s="16"/>
      <c r="C696" s="8"/>
    </row>
    <row r="697">
      <c r="B697" s="16"/>
      <c r="C697" s="8"/>
    </row>
    <row r="698">
      <c r="B698" s="16"/>
      <c r="C698" s="8"/>
    </row>
    <row r="699">
      <c r="B699" s="16"/>
      <c r="C699" s="8"/>
    </row>
    <row r="700">
      <c r="B700" s="16"/>
      <c r="C700" s="8"/>
    </row>
    <row r="701">
      <c r="B701" s="16"/>
      <c r="C701" s="8"/>
    </row>
    <row r="702">
      <c r="B702" s="16"/>
      <c r="C702" s="8"/>
    </row>
    <row r="703">
      <c r="B703" s="16"/>
      <c r="C703" s="8"/>
    </row>
    <row r="704">
      <c r="B704" s="16"/>
      <c r="C704" s="8"/>
    </row>
    <row r="705">
      <c r="B705" s="16"/>
      <c r="C705" s="8"/>
    </row>
    <row r="706">
      <c r="B706" s="16"/>
      <c r="C706" s="8"/>
    </row>
    <row r="707">
      <c r="B707" s="16"/>
      <c r="C707" s="8"/>
    </row>
    <row r="708">
      <c r="B708" s="16"/>
      <c r="C708" s="8"/>
    </row>
    <row r="709">
      <c r="B709" s="16"/>
      <c r="C709" s="8"/>
    </row>
    <row r="710">
      <c r="B710" s="16"/>
      <c r="C710" s="8"/>
    </row>
    <row r="711">
      <c r="B711" s="16"/>
      <c r="C711" s="8"/>
    </row>
    <row r="712">
      <c r="B712" s="16"/>
      <c r="C712" s="8"/>
    </row>
    <row r="713">
      <c r="B713" s="16"/>
      <c r="C713" s="8"/>
    </row>
    <row r="714">
      <c r="B714" s="16"/>
      <c r="C714" s="8"/>
    </row>
    <row r="715">
      <c r="B715" s="16"/>
      <c r="C715" s="8"/>
    </row>
    <row r="716">
      <c r="B716" s="16"/>
      <c r="C716" s="8"/>
    </row>
    <row r="717">
      <c r="B717" s="16"/>
      <c r="C717" s="8"/>
    </row>
    <row r="718">
      <c r="B718" s="16"/>
      <c r="C718" s="8"/>
    </row>
    <row r="719">
      <c r="B719" s="16"/>
      <c r="C719" s="8"/>
    </row>
    <row r="720">
      <c r="B720" s="16"/>
      <c r="C720" s="8"/>
    </row>
    <row r="721">
      <c r="B721" s="16"/>
      <c r="C721" s="8"/>
    </row>
    <row r="722">
      <c r="B722" s="16"/>
      <c r="C722" s="8"/>
    </row>
    <row r="723">
      <c r="B723" s="16"/>
      <c r="C723" s="8"/>
    </row>
    <row r="724">
      <c r="B724" s="16"/>
      <c r="C724" s="8"/>
    </row>
    <row r="725">
      <c r="B725" s="16"/>
      <c r="C725" s="8"/>
    </row>
    <row r="726">
      <c r="B726" s="16"/>
      <c r="C726" s="8"/>
    </row>
    <row r="727">
      <c r="B727" s="16"/>
      <c r="C727" s="8"/>
    </row>
    <row r="728">
      <c r="B728" s="16"/>
      <c r="C728" s="8"/>
    </row>
    <row r="729">
      <c r="B729" s="16"/>
      <c r="C729" s="8"/>
    </row>
    <row r="730">
      <c r="B730" s="16"/>
      <c r="C730" s="8"/>
    </row>
    <row r="731">
      <c r="B731" s="16"/>
      <c r="C731" s="8"/>
    </row>
    <row r="732">
      <c r="B732" s="16"/>
      <c r="C732" s="8"/>
    </row>
    <row r="733">
      <c r="B733" s="16"/>
      <c r="C733" s="8"/>
    </row>
    <row r="734">
      <c r="B734" s="16"/>
      <c r="C734" s="8"/>
    </row>
    <row r="735">
      <c r="B735" s="16"/>
      <c r="C735" s="8"/>
    </row>
    <row r="736">
      <c r="B736" s="16"/>
      <c r="C736" s="8"/>
    </row>
    <row r="737">
      <c r="B737" s="16"/>
      <c r="C737" s="8"/>
    </row>
    <row r="738">
      <c r="B738" s="16"/>
      <c r="C738" s="8"/>
    </row>
    <row r="739">
      <c r="B739" s="16"/>
      <c r="C739" s="8"/>
    </row>
    <row r="740">
      <c r="B740" s="16"/>
      <c r="C740" s="8"/>
    </row>
    <row r="741">
      <c r="B741" s="16"/>
      <c r="C741" s="8"/>
    </row>
    <row r="742">
      <c r="B742" s="16"/>
      <c r="C742" s="8"/>
    </row>
    <row r="743">
      <c r="B743" s="16"/>
      <c r="C743" s="8"/>
    </row>
    <row r="744">
      <c r="B744" s="16"/>
      <c r="C744" s="8"/>
    </row>
    <row r="745">
      <c r="B745" s="16"/>
      <c r="C745" s="8"/>
    </row>
    <row r="746">
      <c r="B746" s="16"/>
      <c r="C746" s="8"/>
    </row>
    <row r="747">
      <c r="B747" s="16"/>
      <c r="C747" s="8"/>
    </row>
    <row r="748">
      <c r="B748" s="16"/>
      <c r="C748" s="8"/>
    </row>
    <row r="749">
      <c r="B749" s="16"/>
      <c r="C749" s="8"/>
    </row>
    <row r="750">
      <c r="B750" s="16"/>
      <c r="C750" s="8"/>
    </row>
    <row r="751">
      <c r="B751" s="16"/>
      <c r="C751" s="8"/>
    </row>
    <row r="752">
      <c r="B752" s="16"/>
      <c r="C752" s="8"/>
    </row>
    <row r="753">
      <c r="B753" s="16"/>
      <c r="C753" s="8"/>
    </row>
    <row r="754">
      <c r="B754" s="16"/>
      <c r="C754" s="8"/>
    </row>
    <row r="755">
      <c r="B755" s="16"/>
      <c r="C755" s="8"/>
    </row>
    <row r="756">
      <c r="B756" s="16"/>
      <c r="C756" s="8"/>
    </row>
    <row r="757">
      <c r="B757" s="16"/>
      <c r="C757" s="8"/>
    </row>
    <row r="758">
      <c r="B758" s="16"/>
      <c r="C758" s="8"/>
    </row>
    <row r="759">
      <c r="B759" s="16"/>
      <c r="C759" s="8"/>
    </row>
    <row r="760">
      <c r="B760" s="16"/>
      <c r="C760" s="8"/>
    </row>
    <row r="761">
      <c r="B761" s="16"/>
      <c r="C761" s="8"/>
    </row>
    <row r="762">
      <c r="B762" s="16"/>
      <c r="C762" s="8"/>
    </row>
    <row r="763">
      <c r="B763" s="16"/>
      <c r="C763" s="8"/>
    </row>
    <row r="764">
      <c r="B764" s="16"/>
      <c r="C764" s="8"/>
    </row>
    <row r="765">
      <c r="B765" s="16"/>
      <c r="C765" s="8"/>
    </row>
    <row r="766">
      <c r="B766" s="16"/>
      <c r="C766" s="8"/>
    </row>
    <row r="767">
      <c r="B767" s="16"/>
      <c r="C767" s="8"/>
    </row>
    <row r="768">
      <c r="B768" s="16"/>
      <c r="C768" s="8"/>
    </row>
    <row r="769">
      <c r="B769" s="16"/>
      <c r="C769" s="8"/>
    </row>
    <row r="770">
      <c r="B770" s="16"/>
      <c r="C770" s="8"/>
    </row>
    <row r="771">
      <c r="B771" s="16"/>
      <c r="C771" s="8"/>
    </row>
    <row r="772">
      <c r="B772" s="16"/>
      <c r="C772" s="8"/>
    </row>
    <row r="773">
      <c r="B773" s="16"/>
      <c r="C773" s="8"/>
    </row>
    <row r="774">
      <c r="B774" s="16"/>
      <c r="C774" s="8"/>
    </row>
    <row r="775">
      <c r="B775" s="16"/>
      <c r="C775" s="8"/>
    </row>
    <row r="776">
      <c r="B776" s="16"/>
      <c r="C776" s="8"/>
    </row>
    <row r="777">
      <c r="B777" s="16"/>
      <c r="C777" s="8"/>
    </row>
    <row r="778">
      <c r="B778" s="16"/>
      <c r="C778" s="8"/>
    </row>
    <row r="779">
      <c r="B779" s="16"/>
      <c r="C779" s="8"/>
    </row>
    <row r="780">
      <c r="B780" s="16"/>
      <c r="C780" s="8"/>
    </row>
    <row r="781">
      <c r="B781" s="16"/>
      <c r="C781" s="8"/>
    </row>
    <row r="782">
      <c r="B782" s="16"/>
      <c r="C782" s="8"/>
    </row>
    <row r="783">
      <c r="B783" s="16"/>
      <c r="C783" s="8"/>
    </row>
    <row r="784">
      <c r="B784" s="16"/>
      <c r="C784" s="8"/>
    </row>
    <row r="785">
      <c r="B785" s="16"/>
      <c r="C785" s="8"/>
    </row>
    <row r="786">
      <c r="B786" s="16"/>
      <c r="C786" s="8"/>
    </row>
    <row r="787">
      <c r="B787" s="16"/>
      <c r="C787" s="8"/>
    </row>
    <row r="788">
      <c r="B788" s="16"/>
      <c r="C788" s="8"/>
    </row>
    <row r="789">
      <c r="B789" s="16"/>
      <c r="C789" s="8"/>
    </row>
    <row r="790">
      <c r="B790" s="16"/>
      <c r="C790" s="8"/>
    </row>
    <row r="791">
      <c r="B791" s="16"/>
      <c r="C791" s="8"/>
    </row>
    <row r="792">
      <c r="B792" s="16"/>
      <c r="C792" s="8"/>
    </row>
    <row r="793">
      <c r="B793" s="16"/>
      <c r="C793" s="8"/>
    </row>
    <row r="794">
      <c r="B794" s="16"/>
      <c r="C794" s="8"/>
    </row>
    <row r="795">
      <c r="B795" s="16"/>
      <c r="C795" s="8"/>
    </row>
    <row r="796">
      <c r="B796" s="16"/>
      <c r="C796" s="8"/>
    </row>
    <row r="797">
      <c r="B797" s="16"/>
      <c r="C797" s="8"/>
    </row>
    <row r="798">
      <c r="B798" s="16"/>
      <c r="C798" s="8"/>
    </row>
    <row r="799">
      <c r="B799" s="16"/>
      <c r="C799" s="8"/>
    </row>
    <row r="800">
      <c r="B800" s="16"/>
      <c r="C800" s="8"/>
    </row>
    <row r="801">
      <c r="B801" s="16"/>
      <c r="C801" s="8"/>
    </row>
    <row r="802">
      <c r="B802" s="16"/>
      <c r="C802" s="8"/>
    </row>
    <row r="803">
      <c r="B803" s="16"/>
      <c r="C803" s="8"/>
    </row>
    <row r="804">
      <c r="B804" s="16"/>
      <c r="C804" s="8"/>
    </row>
    <row r="805">
      <c r="B805" s="16"/>
      <c r="C805" s="8"/>
    </row>
    <row r="806">
      <c r="B806" s="16"/>
      <c r="C806" s="8"/>
    </row>
    <row r="807">
      <c r="B807" s="16"/>
      <c r="C807" s="8"/>
    </row>
    <row r="808">
      <c r="B808" s="16"/>
      <c r="C808" s="8"/>
    </row>
    <row r="809">
      <c r="B809" s="16"/>
      <c r="C809" s="8"/>
    </row>
    <row r="810">
      <c r="B810" s="16"/>
      <c r="C810" s="8"/>
    </row>
    <row r="811">
      <c r="B811" s="16"/>
      <c r="C811" s="8"/>
    </row>
    <row r="812">
      <c r="B812" s="16"/>
      <c r="C812" s="8"/>
    </row>
    <row r="813">
      <c r="B813" s="16"/>
      <c r="C813" s="8"/>
    </row>
    <row r="814">
      <c r="B814" s="16"/>
      <c r="C814" s="8"/>
    </row>
    <row r="815">
      <c r="B815" s="16"/>
      <c r="C815" s="8"/>
    </row>
    <row r="816">
      <c r="B816" s="16"/>
      <c r="C816" s="8"/>
    </row>
    <row r="817">
      <c r="B817" s="16"/>
      <c r="C817" s="8"/>
    </row>
    <row r="818">
      <c r="B818" s="16"/>
      <c r="C818" s="8"/>
    </row>
    <row r="819">
      <c r="B819" s="16"/>
      <c r="C819" s="8"/>
    </row>
    <row r="820">
      <c r="B820" s="16"/>
      <c r="C820" s="8"/>
    </row>
    <row r="821">
      <c r="B821" s="16"/>
      <c r="C821" s="8"/>
    </row>
    <row r="822">
      <c r="B822" s="16"/>
      <c r="C822" s="8"/>
    </row>
    <row r="823">
      <c r="B823" s="16"/>
      <c r="C823" s="8"/>
    </row>
    <row r="824">
      <c r="B824" s="16"/>
      <c r="C824" s="8"/>
    </row>
    <row r="825">
      <c r="B825" s="16"/>
      <c r="C825" s="8"/>
    </row>
    <row r="826">
      <c r="B826" s="16"/>
      <c r="C826" s="8"/>
    </row>
    <row r="827">
      <c r="B827" s="16"/>
      <c r="C827" s="8"/>
    </row>
    <row r="828">
      <c r="B828" s="16"/>
      <c r="C828" s="8"/>
    </row>
    <row r="829">
      <c r="B829" s="16"/>
      <c r="C829" s="8"/>
    </row>
    <row r="830">
      <c r="B830" s="16"/>
      <c r="C830" s="8"/>
    </row>
    <row r="831">
      <c r="B831" s="16"/>
      <c r="C831" s="8"/>
    </row>
    <row r="832">
      <c r="B832" s="16"/>
      <c r="C832" s="8"/>
    </row>
    <row r="833">
      <c r="B833" s="16"/>
      <c r="C833" s="8"/>
    </row>
    <row r="834">
      <c r="B834" s="16"/>
      <c r="C834" s="8"/>
    </row>
    <row r="835">
      <c r="B835" s="16"/>
      <c r="C835" s="8"/>
    </row>
    <row r="836">
      <c r="B836" s="16"/>
      <c r="C836" s="8"/>
    </row>
    <row r="837">
      <c r="B837" s="16"/>
      <c r="C837" s="8"/>
    </row>
    <row r="838">
      <c r="B838" s="16"/>
      <c r="C838" s="8"/>
    </row>
    <row r="839">
      <c r="B839" s="16"/>
      <c r="C839" s="8"/>
    </row>
    <row r="840">
      <c r="B840" s="16"/>
      <c r="C840" s="8"/>
    </row>
    <row r="841">
      <c r="B841" s="16"/>
      <c r="C841" s="8"/>
    </row>
    <row r="842">
      <c r="B842" s="16"/>
      <c r="C842" s="8"/>
    </row>
    <row r="843">
      <c r="B843" s="16"/>
      <c r="C843" s="8"/>
    </row>
    <row r="844">
      <c r="B844" s="16"/>
      <c r="C844" s="8"/>
    </row>
    <row r="845">
      <c r="B845" s="16"/>
      <c r="C845" s="8"/>
    </row>
    <row r="846">
      <c r="B846" s="16"/>
      <c r="C846" s="8"/>
    </row>
    <row r="847">
      <c r="B847" s="16"/>
      <c r="C847" s="8"/>
    </row>
    <row r="848">
      <c r="B848" s="16"/>
      <c r="C848" s="8"/>
    </row>
    <row r="849">
      <c r="B849" s="16"/>
      <c r="C849" s="8"/>
    </row>
    <row r="850">
      <c r="B850" s="16"/>
      <c r="C850" s="8"/>
    </row>
    <row r="851">
      <c r="B851" s="16"/>
      <c r="C851" s="8"/>
    </row>
    <row r="852">
      <c r="B852" s="16"/>
      <c r="C852" s="8"/>
    </row>
    <row r="853">
      <c r="B853" s="16"/>
      <c r="C853" s="8"/>
    </row>
    <row r="854">
      <c r="B854" s="16"/>
      <c r="C854" s="8"/>
    </row>
    <row r="855">
      <c r="B855" s="16"/>
      <c r="C855" s="8"/>
    </row>
    <row r="856">
      <c r="B856" s="16"/>
      <c r="C856" s="8"/>
    </row>
    <row r="857">
      <c r="B857" s="16"/>
      <c r="C857" s="8"/>
    </row>
    <row r="858">
      <c r="B858" s="16"/>
      <c r="C858" s="8"/>
    </row>
    <row r="859">
      <c r="B859" s="16"/>
      <c r="C859" s="8"/>
    </row>
    <row r="860">
      <c r="B860" s="16"/>
      <c r="C860" s="8"/>
    </row>
    <row r="861">
      <c r="B861" s="16"/>
      <c r="C861" s="8"/>
    </row>
    <row r="862">
      <c r="B862" s="16"/>
      <c r="C862" s="8"/>
    </row>
    <row r="863">
      <c r="B863" s="16"/>
      <c r="C863" s="8"/>
    </row>
    <row r="864">
      <c r="B864" s="16"/>
      <c r="C864" s="8"/>
    </row>
    <row r="865">
      <c r="B865" s="16"/>
      <c r="C865" s="8"/>
    </row>
    <row r="866">
      <c r="B866" s="16"/>
      <c r="C866" s="8"/>
    </row>
    <row r="867">
      <c r="B867" s="16"/>
      <c r="C867" s="8"/>
    </row>
    <row r="868">
      <c r="B868" s="16"/>
      <c r="C868" s="8"/>
    </row>
    <row r="869">
      <c r="B869" s="16"/>
      <c r="C869" s="8"/>
    </row>
    <row r="870">
      <c r="B870" s="16"/>
      <c r="C870" s="8"/>
    </row>
    <row r="871">
      <c r="B871" s="16"/>
      <c r="C871" s="8"/>
    </row>
    <row r="872">
      <c r="B872" s="16"/>
      <c r="C872" s="8"/>
    </row>
    <row r="873">
      <c r="B873" s="16"/>
      <c r="C873" s="8"/>
    </row>
    <row r="874">
      <c r="B874" s="16"/>
      <c r="C874" s="8"/>
    </row>
    <row r="875">
      <c r="B875" s="16"/>
      <c r="C875" s="8"/>
    </row>
    <row r="876">
      <c r="B876" s="16"/>
      <c r="C876" s="8"/>
    </row>
    <row r="877">
      <c r="B877" s="16"/>
      <c r="C877" s="8"/>
    </row>
    <row r="878">
      <c r="B878" s="16"/>
      <c r="C878" s="8"/>
    </row>
    <row r="879">
      <c r="B879" s="16"/>
      <c r="C879" s="8"/>
    </row>
    <row r="880">
      <c r="B880" s="16"/>
      <c r="C880" s="8"/>
    </row>
    <row r="881">
      <c r="B881" s="16"/>
      <c r="C881" s="8"/>
    </row>
    <row r="882">
      <c r="B882" s="16"/>
      <c r="C882" s="8"/>
    </row>
    <row r="883">
      <c r="B883" s="16"/>
      <c r="C883" s="8"/>
    </row>
    <row r="884">
      <c r="B884" s="16"/>
      <c r="C884" s="8"/>
    </row>
    <row r="885">
      <c r="B885" s="16"/>
      <c r="C885" s="8"/>
    </row>
    <row r="886">
      <c r="B886" s="16"/>
      <c r="C886" s="8"/>
    </row>
    <row r="887">
      <c r="B887" s="16"/>
      <c r="C887" s="8"/>
    </row>
    <row r="888">
      <c r="B888" s="16"/>
      <c r="C888" s="8"/>
    </row>
    <row r="889">
      <c r="B889" s="16"/>
      <c r="C889" s="8"/>
    </row>
    <row r="890">
      <c r="B890" s="16"/>
      <c r="C890" s="8"/>
    </row>
    <row r="891">
      <c r="B891" s="16"/>
      <c r="C891" s="8"/>
    </row>
    <row r="892">
      <c r="B892" s="16"/>
      <c r="C892" s="8"/>
    </row>
    <row r="893">
      <c r="B893" s="16"/>
      <c r="C893" s="8"/>
    </row>
    <row r="894">
      <c r="B894" s="16"/>
      <c r="C894" s="8"/>
    </row>
    <row r="895">
      <c r="B895" s="16"/>
      <c r="C895" s="8"/>
    </row>
    <row r="896">
      <c r="B896" s="16"/>
      <c r="C896" s="8"/>
    </row>
    <row r="897">
      <c r="B897" s="16"/>
      <c r="C897" s="8"/>
    </row>
    <row r="898">
      <c r="B898" s="16"/>
      <c r="C898" s="8"/>
    </row>
    <row r="899">
      <c r="B899" s="16"/>
      <c r="C899" s="8"/>
    </row>
    <row r="900">
      <c r="B900" s="16"/>
      <c r="C900" s="8"/>
    </row>
    <row r="901">
      <c r="B901" s="16"/>
      <c r="C901" s="8"/>
    </row>
    <row r="902">
      <c r="B902" s="16"/>
      <c r="C902" s="8"/>
    </row>
    <row r="903">
      <c r="B903" s="16"/>
      <c r="C903" s="8"/>
    </row>
    <row r="904">
      <c r="B904" s="16"/>
      <c r="C904" s="8"/>
    </row>
    <row r="905">
      <c r="B905" s="16"/>
      <c r="C905" s="8"/>
    </row>
    <row r="906">
      <c r="B906" s="16"/>
      <c r="C906" s="8"/>
    </row>
    <row r="907">
      <c r="B907" s="16"/>
      <c r="C907" s="8"/>
    </row>
    <row r="908">
      <c r="B908" s="16"/>
      <c r="C908" s="8"/>
    </row>
    <row r="909">
      <c r="B909" s="16"/>
      <c r="C909" s="8"/>
    </row>
    <row r="910">
      <c r="B910" s="16"/>
      <c r="C910" s="8"/>
    </row>
    <row r="911">
      <c r="B911" s="16"/>
      <c r="C911" s="8"/>
    </row>
    <row r="912">
      <c r="B912" s="16"/>
      <c r="C912" s="8"/>
    </row>
    <row r="913">
      <c r="B913" s="16"/>
      <c r="C913" s="8"/>
    </row>
    <row r="914">
      <c r="B914" s="16"/>
      <c r="C914" s="8"/>
    </row>
    <row r="915">
      <c r="B915" s="16"/>
      <c r="C915" s="8"/>
    </row>
    <row r="916">
      <c r="B916" s="16"/>
      <c r="C916" s="8"/>
    </row>
    <row r="917">
      <c r="B917" s="16"/>
      <c r="C917" s="8"/>
    </row>
    <row r="918">
      <c r="B918" s="16"/>
      <c r="C918" s="8"/>
    </row>
    <row r="919">
      <c r="B919" s="16"/>
      <c r="C919" s="8"/>
    </row>
    <row r="920">
      <c r="B920" s="16"/>
      <c r="C920" s="8"/>
    </row>
    <row r="921">
      <c r="B921" s="16"/>
      <c r="C921" s="8"/>
    </row>
    <row r="922">
      <c r="B922" s="16"/>
      <c r="C922" s="8"/>
    </row>
    <row r="923">
      <c r="B923" s="16"/>
      <c r="C923" s="8"/>
    </row>
    <row r="924">
      <c r="B924" s="16"/>
      <c r="C924" s="8"/>
    </row>
    <row r="925">
      <c r="B925" s="16"/>
      <c r="C925" s="8"/>
    </row>
    <row r="926">
      <c r="B926" s="16"/>
      <c r="C926" s="8"/>
    </row>
    <row r="927">
      <c r="B927" s="16"/>
      <c r="C927" s="8"/>
    </row>
    <row r="928">
      <c r="B928" s="16"/>
      <c r="C928" s="8"/>
    </row>
    <row r="929">
      <c r="B929" s="16"/>
      <c r="C929" s="8"/>
    </row>
    <row r="930">
      <c r="B930" s="16"/>
      <c r="C930" s="8"/>
    </row>
    <row r="931">
      <c r="B931" s="16"/>
      <c r="C931" s="8"/>
    </row>
    <row r="932">
      <c r="B932" s="16"/>
      <c r="C932" s="8"/>
    </row>
    <row r="933">
      <c r="B933" s="16"/>
      <c r="C933" s="8"/>
    </row>
    <row r="934">
      <c r="B934" s="16"/>
      <c r="C934" s="8"/>
    </row>
    <row r="935">
      <c r="B935" s="16"/>
      <c r="C935" s="8"/>
    </row>
    <row r="936">
      <c r="B936" s="16"/>
      <c r="C936" s="8"/>
    </row>
    <row r="937">
      <c r="B937" s="16"/>
      <c r="C937" s="8"/>
    </row>
    <row r="938">
      <c r="B938" s="16"/>
      <c r="C938" s="8"/>
    </row>
    <row r="939">
      <c r="B939" s="16"/>
      <c r="C939" s="8"/>
    </row>
    <row r="940">
      <c r="B940" s="16"/>
      <c r="C940" s="8"/>
    </row>
    <row r="941">
      <c r="B941" s="16"/>
      <c r="C941" s="8"/>
    </row>
    <row r="942">
      <c r="B942" s="16"/>
      <c r="C942" s="8"/>
    </row>
    <row r="943">
      <c r="B943" s="16"/>
      <c r="C943" s="8"/>
    </row>
    <row r="944">
      <c r="B944" s="16"/>
      <c r="C944" s="8"/>
    </row>
    <row r="945">
      <c r="B945" s="16"/>
      <c r="C945" s="8"/>
    </row>
    <row r="946">
      <c r="B946" s="16"/>
      <c r="C946" s="8"/>
    </row>
    <row r="947">
      <c r="B947" s="16"/>
      <c r="C947" s="8"/>
    </row>
    <row r="948">
      <c r="B948" s="16"/>
      <c r="C948" s="8"/>
    </row>
    <row r="949">
      <c r="B949" s="16"/>
      <c r="C949" s="8"/>
    </row>
    <row r="950">
      <c r="B950" s="16"/>
      <c r="C950" s="8"/>
    </row>
    <row r="951">
      <c r="B951" s="16"/>
      <c r="C951" s="8"/>
    </row>
    <row r="952">
      <c r="B952" s="16"/>
      <c r="C952" s="8"/>
    </row>
    <row r="953">
      <c r="B953" s="16"/>
      <c r="C953" s="8"/>
    </row>
    <row r="954">
      <c r="B954" s="16"/>
      <c r="C954" s="8"/>
    </row>
    <row r="955">
      <c r="B955" s="16"/>
      <c r="C955" s="8"/>
    </row>
    <row r="956">
      <c r="B956" s="16"/>
      <c r="C956" s="8"/>
    </row>
    <row r="957">
      <c r="B957" s="16"/>
      <c r="C957" s="8"/>
    </row>
    <row r="958">
      <c r="B958" s="16"/>
      <c r="C958" s="8"/>
    </row>
    <row r="959">
      <c r="B959" s="16"/>
      <c r="C959" s="8"/>
    </row>
    <row r="960">
      <c r="B960" s="16"/>
      <c r="C960" s="8"/>
    </row>
    <row r="961">
      <c r="B961" s="16"/>
      <c r="C961" s="8"/>
    </row>
    <row r="962">
      <c r="B962" s="16"/>
      <c r="C962" s="8"/>
    </row>
    <row r="963">
      <c r="B963" s="16"/>
      <c r="C963" s="8"/>
    </row>
    <row r="964">
      <c r="B964" s="16"/>
      <c r="C964" s="8"/>
    </row>
    <row r="965">
      <c r="B965" s="16"/>
      <c r="C965" s="8"/>
    </row>
    <row r="966">
      <c r="B966" s="16"/>
      <c r="C966" s="8"/>
    </row>
    <row r="967">
      <c r="B967" s="16"/>
      <c r="C967" s="8"/>
    </row>
    <row r="968">
      <c r="B968" s="16"/>
      <c r="C968" s="8"/>
    </row>
    <row r="969">
      <c r="B969" s="16"/>
      <c r="C969" s="8"/>
    </row>
    <row r="970">
      <c r="B970" s="16"/>
      <c r="C970" s="8"/>
    </row>
    <row r="971">
      <c r="B971" s="16"/>
      <c r="C971" s="8"/>
    </row>
    <row r="972">
      <c r="B972" s="16"/>
      <c r="C972" s="8"/>
    </row>
    <row r="973">
      <c r="B973" s="16"/>
      <c r="C973" s="8"/>
    </row>
    <row r="974">
      <c r="B974" s="16"/>
      <c r="C974" s="8"/>
    </row>
    <row r="975">
      <c r="B975" s="16"/>
      <c r="C975" s="8"/>
    </row>
    <row r="976">
      <c r="B976" s="16"/>
      <c r="C976" s="8"/>
    </row>
    <row r="977">
      <c r="B977" s="16"/>
      <c r="C977" s="8"/>
    </row>
    <row r="978">
      <c r="B978" s="16"/>
      <c r="C978" s="8"/>
    </row>
    <row r="979">
      <c r="B979" s="16"/>
      <c r="C979" s="8"/>
    </row>
    <row r="980">
      <c r="B980" s="16"/>
      <c r="C980" s="8"/>
    </row>
    <row r="981">
      <c r="B981" s="16"/>
      <c r="C981" s="8"/>
    </row>
    <row r="982">
      <c r="B982" s="16"/>
      <c r="C982" s="8"/>
    </row>
    <row r="983">
      <c r="B983" s="16"/>
      <c r="C983" s="8"/>
    </row>
    <row r="984">
      <c r="B984" s="16"/>
      <c r="C984" s="8"/>
    </row>
    <row r="985">
      <c r="B985" s="16"/>
      <c r="C985" s="8"/>
    </row>
    <row r="986">
      <c r="B986" s="16"/>
      <c r="C986" s="8"/>
    </row>
    <row r="987">
      <c r="B987" s="16"/>
      <c r="C987" s="8"/>
    </row>
    <row r="988">
      <c r="B988" s="16"/>
      <c r="C988" s="8"/>
    </row>
    <row r="989">
      <c r="B989" s="16"/>
      <c r="C989" s="8"/>
    </row>
    <row r="990">
      <c r="B990" s="16"/>
      <c r="C990" s="8"/>
    </row>
    <row r="991">
      <c r="B991" s="16"/>
      <c r="C991" s="8"/>
    </row>
    <row r="992">
      <c r="B992" s="16"/>
      <c r="C992" s="8"/>
    </row>
    <row r="993">
      <c r="B993" s="16"/>
      <c r="C993" s="8"/>
    </row>
    <row r="994">
      <c r="B994" s="16"/>
      <c r="C994" s="8"/>
    </row>
    <row r="995">
      <c r="B995" s="16"/>
      <c r="C995" s="8"/>
    </row>
    <row r="996">
      <c r="B996" s="16"/>
      <c r="C996" s="8"/>
    </row>
    <row r="997">
      <c r="B997" s="16"/>
      <c r="C997" s="8"/>
    </row>
    <row r="998">
      <c r="B998" s="16"/>
      <c r="C998" s="8"/>
    </row>
    <row r="999">
      <c r="B999" s="16"/>
      <c r="C999" s="8"/>
    </row>
    <row r="1000">
      <c r="B1000" s="16"/>
      <c r="C1000" s="8"/>
    </row>
    <row r="1001">
      <c r="B1001" s="16"/>
      <c r="C1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26</v>
      </c>
      <c r="C1" s="8"/>
      <c r="D1" s="17"/>
      <c r="E1" s="1">
        <v>2014.0</v>
      </c>
      <c r="F1" s="1">
        <v>2015.0</v>
      </c>
      <c r="G1" s="1">
        <v>2016.0</v>
      </c>
      <c r="H1" s="1">
        <v>2017.0</v>
      </c>
      <c r="I1" s="1">
        <v>2018.0</v>
      </c>
      <c r="J1" s="1">
        <v>2019.0</v>
      </c>
      <c r="K1" s="1">
        <v>2020.0</v>
      </c>
      <c r="L1" s="1">
        <v>2021.0</v>
      </c>
      <c r="M1" s="1">
        <v>2022.0</v>
      </c>
      <c r="N1" s="1">
        <v>2023.0</v>
      </c>
      <c r="O1" s="1">
        <v>2024.0</v>
      </c>
    </row>
    <row r="2">
      <c r="A2" s="2">
        <v>41640.0</v>
      </c>
      <c r="B2" s="18">
        <f>IFERROR(__xludf.DUMMYFUNCTION("FLATTEN({E14:E17; F14:F17; G14:G17; H14:H17; I14:I17; J14:J17; K14:K17; L14:L17; M14:M17; N14:N17; O14:O17})
"),44.93566666666667)</f>
        <v>44.93566667</v>
      </c>
      <c r="C2" s="19"/>
      <c r="D2" s="15" t="s">
        <v>9</v>
      </c>
      <c r="E2" s="11">
        <v>45.155</v>
      </c>
      <c r="F2" s="11">
        <v>44.132</v>
      </c>
      <c r="G2" s="11">
        <v>47.823</v>
      </c>
      <c r="H2" s="11">
        <v>49.814</v>
      </c>
      <c r="I2" s="11">
        <v>51.421</v>
      </c>
      <c r="J2" s="11">
        <v>52.352</v>
      </c>
      <c r="K2" s="11">
        <v>50.904</v>
      </c>
      <c r="L2" s="11">
        <v>48.121</v>
      </c>
      <c r="M2" s="11">
        <v>51.273</v>
      </c>
      <c r="N2" s="11">
        <v>54.545</v>
      </c>
      <c r="O2" s="11">
        <v>56.335</v>
      </c>
    </row>
    <row r="3">
      <c r="A3" s="2">
        <v>41730.0</v>
      </c>
      <c r="B3" s="18">
        <f>IFERROR(__xludf.DUMMYFUNCTION("""COMPUTED_VALUE"""),44.05666666666667)</f>
        <v>44.05666667</v>
      </c>
      <c r="C3" s="8"/>
      <c r="D3" s="17" t="s">
        <v>10</v>
      </c>
      <c r="E3" s="24">
        <v>44.656</v>
      </c>
      <c r="F3" s="24">
        <v>44.087</v>
      </c>
      <c r="G3" s="24">
        <v>47.56</v>
      </c>
      <c r="H3" s="24">
        <v>50.267</v>
      </c>
      <c r="I3" s="24">
        <v>52.034</v>
      </c>
      <c r="J3" s="24">
        <v>52.006</v>
      </c>
      <c r="K3" s="24">
        <v>50.937</v>
      </c>
      <c r="L3" s="24">
        <v>48.637</v>
      </c>
      <c r="M3" s="24">
        <v>51.291</v>
      </c>
      <c r="N3" s="24">
        <v>55.312</v>
      </c>
      <c r="O3" s="24">
        <v>56.187</v>
      </c>
    </row>
    <row r="4">
      <c r="A4" s="2">
        <v>41821.0</v>
      </c>
      <c r="B4" s="18">
        <f>IFERROR(__xludf.DUMMYFUNCTION("""COMPUTED_VALUE"""),44.01166666666666)</f>
        <v>44.01166667</v>
      </c>
      <c r="C4" s="19"/>
      <c r="D4" s="15" t="s">
        <v>11</v>
      </c>
      <c r="E4" s="11">
        <v>44.996</v>
      </c>
      <c r="F4" s="11">
        <v>44.796</v>
      </c>
      <c r="G4" s="11">
        <v>46.108</v>
      </c>
      <c r="H4" s="11">
        <v>50.194</v>
      </c>
      <c r="I4" s="11">
        <v>52.207</v>
      </c>
      <c r="J4" s="11">
        <v>52.782</v>
      </c>
      <c r="K4" s="11">
        <v>51.044</v>
      </c>
      <c r="L4" s="11">
        <v>48.466</v>
      </c>
      <c r="M4" s="11">
        <v>51.96</v>
      </c>
      <c r="N4" s="11">
        <v>54.429</v>
      </c>
      <c r="O4" s="11">
        <v>56.281</v>
      </c>
    </row>
    <row r="5">
      <c r="A5" s="2">
        <v>41913.0</v>
      </c>
      <c r="B5" s="18">
        <f>IFERROR(__xludf.DUMMYFUNCTION("""COMPUTED_VALUE"""),44.803)</f>
        <v>44.803</v>
      </c>
      <c r="C5" s="19"/>
      <c r="D5" s="17" t="s">
        <v>12</v>
      </c>
      <c r="E5" s="24">
        <v>44.463</v>
      </c>
      <c r="F5" s="24">
        <v>44.25</v>
      </c>
      <c r="G5" s="24">
        <v>46.773</v>
      </c>
      <c r="H5" s="24">
        <v>49.699</v>
      </c>
      <c r="I5" s="24">
        <v>51.965</v>
      </c>
      <c r="J5" s="24">
        <v>52.106</v>
      </c>
      <c r="K5" s="24">
        <v>50.589</v>
      </c>
      <c r="L5" s="24">
        <v>48.39</v>
      </c>
      <c r="M5" s="24">
        <v>52.158</v>
      </c>
      <c r="N5" s="24">
        <v>55.742</v>
      </c>
      <c r="O5" s="24">
        <v>57.697</v>
      </c>
    </row>
    <row r="6">
      <c r="A6" s="2">
        <v>42005.0</v>
      </c>
      <c r="B6" s="18">
        <f>IFERROR(__xludf.DUMMYFUNCTION("""COMPUTED_VALUE"""),44.33833333333333)</f>
        <v>44.33833333</v>
      </c>
      <c r="C6" s="19"/>
      <c r="D6" s="15" t="s">
        <v>13</v>
      </c>
      <c r="E6" s="11">
        <v>43.927</v>
      </c>
      <c r="F6" s="11">
        <v>44.65</v>
      </c>
      <c r="G6" s="11">
        <v>46.775</v>
      </c>
      <c r="H6" s="11">
        <v>49.867</v>
      </c>
      <c r="I6" s="11">
        <v>52.689</v>
      </c>
      <c r="J6" s="11">
        <v>52.257</v>
      </c>
      <c r="K6" s="11">
        <v>50.727</v>
      </c>
      <c r="L6" s="11">
        <v>47.901</v>
      </c>
      <c r="M6" s="11">
        <v>52.243</v>
      </c>
      <c r="N6" s="11">
        <v>56.26</v>
      </c>
      <c r="O6" s="11">
        <v>58.62</v>
      </c>
    </row>
    <row r="7">
      <c r="A7" s="2">
        <v>42095.0</v>
      </c>
      <c r="B7" s="18">
        <f>IFERROR(__xludf.DUMMYFUNCTION("""COMPUTED_VALUE"""),44.70000000000001)</f>
        <v>44.7</v>
      </c>
      <c r="C7" s="8"/>
      <c r="D7" s="17" t="s">
        <v>14</v>
      </c>
      <c r="E7" s="24">
        <v>43.78</v>
      </c>
      <c r="F7" s="24">
        <v>45.2</v>
      </c>
      <c r="G7" s="24">
        <v>46.96</v>
      </c>
      <c r="H7" s="24">
        <v>50.466</v>
      </c>
      <c r="I7" s="24">
        <v>53.522</v>
      </c>
      <c r="J7" s="24">
        <v>51.358</v>
      </c>
      <c r="K7" s="24">
        <v>49.851</v>
      </c>
      <c r="L7" s="24">
        <v>48.544</v>
      </c>
      <c r="M7" s="24">
        <v>55.021</v>
      </c>
      <c r="N7" s="24">
        <v>55.362</v>
      </c>
      <c r="O7" s="24">
        <v>58.868</v>
      </c>
    </row>
    <row r="8">
      <c r="A8" s="2">
        <v>42186.0</v>
      </c>
      <c r="B8" s="18">
        <f>IFERROR(__xludf.DUMMYFUNCTION("""COMPUTED_VALUE"""),46.41633333333334)</f>
        <v>46.41633333</v>
      </c>
      <c r="C8" s="19"/>
      <c r="D8" s="15" t="s">
        <v>15</v>
      </c>
      <c r="E8" s="11">
        <v>43.421</v>
      </c>
      <c r="F8" s="11">
        <v>45.618</v>
      </c>
      <c r="G8" s="11">
        <v>47.085</v>
      </c>
      <c r="H8" s="11">
        <v>50.582</v>
      </c>
      <c r="I8" s="11">
        <v>53.263</v>
      </c>
      <c r="J8" s="11">
        <v>51.013</v>
      </c>
      <c r="K8" s="11">
        <v>49.217</v>
      </c>
      <c r="L8" s="11">
        <v>50.342</v>
      </c>
      <c r="M8" s="11">
        <v>55.722</v>
      </c>
      <c r="N8" s="11">
        <v>54.847</v>
      </c>
      <c r="O8" s="11">
        <v>58.645</v>
      </c>
    </row>
    <row r="9">
      <c r="A9" s="2">
        <v>42278.0</v>
      </c>
      <c r="B9" s="18">
        <f>IFERROR(__xludf.DUMMYFUNCTION("""COMPUTED_VALUE"""),47.041666666666664)</f>
        <v>47.04166667</v>
      </c>
      <c r="C9" s="8"/>
      <c r="D9" s="17" t="s">
        <v>16</v>
      </c>
      <c r="E9" s="24">
        <v>43.648</v>
      </c>
      <c r="F9" s="24">
        <v>46.705</v>
      </c>
      <c r="G9" s="24">
        <v>46.467</v>
      </c>
      <c r="H9" s="24">
        <v>51.166</v>
      </c>
      <c r="I9" s="24">
        <v>53.434</v>
      </c>
      <c r="J9" s="24">
        <v>52.339</v>
      </c>
      <c r="K9" s="24">
        <v>48.621</v>
      </c>
      <c r="L9" s="24">
        <v>50.04</v>
      </c>
      <c r="M9" s="24">
        <v>56.243</v>
      </c>
      <c r="N9" s="24">
        <v>56.702</v>
      </c>
      <c r="O9" s="24">
        <v>56.289</v>
      </c>
    </row>
    <row r="10">
      <c r="A10" s="2">
        <v>42370.0</v>
      </c>
      <c r="B10" s="18">
        <f>IFERROR(__xludf.DUMMYFUNCTION("""COMPUTED_VALUE"""),47.16366666666667)</f>
        <v>47.16366667</v>
      </c>
      <c r="C10" s="19"/>
      <c r="D10" s="15" t="s">
        <v>17</v>
      </c>
      <c r="E10" s="11">
        <v>44.966</v>
      </c>
      <c r="F10" s="11">
        <v>46.926</v>
      </c>
      <c r="G10" s="11">
        <v>48.257</v>
      </c>
      <c r="H10" s="11">
        <v>51.073</v>
      </c>
      <c r="I10" s="11">
        <v>54.251</v>
      </c>
      <c r="J10" s="11">
        <v>52.042</v>
      </c>
      <c r="K10" s="11">
        <v>48.465</v>
      </c>
      <c r="L10" s="11">
        <v>50.959</v>
      </c>
      <c r="M10" s="11">
        <v>58.91</v>
      </c>
      <c r="N10" s="11">
        <v>56.961</v>
      </c>
      <c r="O10" s="11">
        <v>55.892</v>
      </c>
    </row>
    <row r="11">
      <c r="A11" s="2">
        <v>42461.0</v>
      </c>
      <c r="B11" s="18">
        <f>IFERROR(__xludf.DUMMYFUNCTION("""COMPUTED_VALUE"""),46.836000000000006)</f>
        <v>46.836</v>
      </c>
      <c r="C11" s="8"/>
      <c r="D11" s="17" t="s">
        <v>18</v>
      </c>
      <c r="E11" s="24">
        <v>44.876</v>
      </c>
      <c r="F11" s="24">
        <v>46.89</v>
      </c>
      <c r="G11" s="24">
        <v>48.515</v>
      </c>
      <c r="H11" s="24">
        <v>51.799</v>
      </c>
      <c r="I11" s="24">
        <v>53.606</v>
      </c>
      <c r="J11" s="24">
        <v>51.033</v>
      </c>
      <c r="K11" s="24">
        <v>48.401</v>
      </c>
      <c r="L11" s="24">
        <v>50.77</v>
      </c>
      <c r="M11" s="24">
        <v>58.288</v>
      </c>
      <c r="N11" s="24">
        <v>56.903</v>
      </c>
      <c r="O11" s="24">
        <v>58.254</v>
      </c>
    </row>
    <row r="12">
      <c r="A12" s="2">
        <v>42552.0</v>
      </c>
      <c r="B12" s="18">
        <f>IFERROR(__xludf.DUMMYFUNCTION("""COMPUTED_VALUE"""),47.269666666666666)</f>
        <v>47.26966667</v>
      </c>
      <c r="C12" s="19"/>
      <c r="D12" s="15" t="s">
        <v>19</v>
      </c>
      <c r="E12" s="11">
        <v>44.916</v>
      </c>
      <c r="F12" s="11">
        <v>47.069</v>
      </c>
      <c r="G12" s="11">
        <v>49.777</v>
      </c>
      <c r="H12" s="11">
        <v>50.365</v>
      </c>
      <c r="I12" s="11">
        <v>52.608</v>
      </c>
      <c r="J12" s="11">
        <v>50.798</v>
      </c>
      <c r="K12" s="11">
        <v>48.102</v>
      </c>
      <c r="L12" s="11">
        <v>50.458</v>
      </c>
      <c r="M12" s="11">
        <v>56.796</v>
      </c>
      <c r="N12" s="11">
        <v>55.328</v>
      </c>
      <c r="O12" s="11">
        <v>58.694</v>
      </c>
    </row>
    <row r="13">
      <c r="A13" s="2">
        <v>42644.0</v>
      </c>
      <c r="B13" s="18">
        <f>IFERROR(__xludf.DUMMYFUNCTION("""COMPUTED_VALUE"""),49.36833333333334)</f>
        <v>49.36833333</v>
      </c>
      <c r="C13" s="8"/>
      <c r="D13" s="17" t="s">
        <v>20</v>
      </c>
      <c r="E13" s="24">
        <v>44.617</v>
      </c>
      <c r="F13" s="24">
        <v>47.166</v>
      </c>
      <c r="G13" s="24">
        <v>49.813</v>
      </c>
      <c r="H13" s="24">
        <v>49.923</v>
      </c>
      <c r="I13" s="24">
        <v>52.724</v>
      </c>
      <c r="J13" s="24">
        <v>50.744</v>
      </c>
      <c r="K13" s="24">
        <v>48.036</v>
      </c>
      <c r="L13" s="24">
        <v>50.774</v>
      </c>
      <c r="M13" s="24">
        <v>56.12</v>
      </c>
      <c r="N13" s="24">
        <v>55.567</v>
      </c>
      <c r="O13" s="24">
        <v>58.014</v>
      </c>
    </row>
    <row r="14">
      <c r="A14" s="2">
        <v>42736.0</v>
      </c>
      <c r="B14" s="18">
        <f>IFERROR(__xludf.DUMMYFUNCTION("""COMPUTED_VALUE"""),50.09166666666667)</f>
        <v>50.09166667</v>
      </c>
      <c r="C14" s="10"/>
      <c r="D14" s="21" t="s">
        <v>22</v>
      </c>
      <c r="E14" s="22">
        <f t="shared" ref="E14:O14" si="1">AVERAGE(E2:E4)</f>
        <v>44.93566667</v>
      </c>
      <c r="F14" s="22">
        <f t="shared" si="1"/>
        <v>44.33833333</v>
      </c>
      <c r="G14" s="22">
        <f t="shared" si="1"/>
        <v>47.16366667</v>
      </c>
      <c r="H14" s="22">
        <f t="shared" si="1"/>
        <v>50.09166667</v>
      </c>
      <c r="I14" s="22">
        <f t="shared" si="1"/>
        <v>51.88733333</v>
      </c>
      <c r="J14" s="22">
        <f t="shared" si="1"/>
        <v>52.38</v>
      </c>
      <c r="K14" s="22">
        <f t="shared" si="1"/>
        <v>50.96166667</v>
      </c>
      <c r="L14" s="22">
        <f t="shared" si="1"/>
        <v>48.408</v>
      </c>
      <c r="M14" s="22">
        <f t="shared" si="1"/>
        <v>51.508</v>
      </c>
      <c r="N14" s="22">
        <f t="shared" si="1"/>
        <v>54.762</v>
      </c>
      <c r="O14" s="22">
        <f t="shared" si="1"/>
        <v>56.26766667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">
        <v>42826.0</v>
      </c>
      <c r="B15" s="18">
        <f>IFERROR(__xludf.DUMMYFUNCTION("""COMPUTED_VALUE"""),50.01066666666667)</f>
        <v>50.01066667</v>
      </c>
      <c r="C15" s="14"/>
      <c r="D15" s="1" t="s">
        <v>23</v>
      </c>
      <c r="E15" s="23">
        <f t="shared" ref="E15:O15" si="2">AVERAGE(E5:E7)</f>
        <v>44.05666667</v>
      </c>
      <c r="F15" s="23">
        <f t="shared" si="2"/>
        <v>44.7</v>
      </c>
      <c r="G15" s="23">
        <f t="shared" si="2"/>
        <v>46.836</v>
      </c>
      <c r="H15" s="23">
        <f t="shared" si="2"/>
        <v>50.01066667</v>
      </c>
      <c r="I15" s="23">
        <f t="shared" si="2"/>
        <v>52.72533333</v>
      </c>
      <c r="J15" s="23">
        <f t="shared" si="2"/>
        <v>51.907</v>
      </c>
      <c r="K15" s="23">
        <f t="shared" si="2"/>
        <v>50.389</v>
      </c>
      <c r="L15" s="23">
        <f t="shared" si="2"/>
        <v>48.27833333</v>
      </c>
      <c r="M15" s="23">
        <f t="shared" si="2"/>
        <v>53.14066667</v>
      </c>
      <c r="N15" s="23">
        <f t="shared" si="2"/>
        <v>55.788</v>
      </c>
      <c r="O15" s="23">
        <f t="shared" si="2"/>
        <v>58.395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2">
        <v>42917.0</v>
      </c>
      <c r="B16" s="18">
        <f>IFERROR(__xludf.DUMMYFUNCTION("""COMPUTED_VALUE"""),50.940333333333335)</f>
        <v>50.94033333</v>
      </c>
      <c r="C16" s="10"/>
      <c r="D16" s="21" t="s">
        <v>24</v>
      </c>
      <c r="E16" s="22">
        <f t="shared" ref="E16:O16" si="3">AVERAGE(E8:E10)</f>
        <v>44.01166667</v>
      </c>
      <c r="F16" s="22">
        <f t="shared" si="3"/>
        <v>46.41633333</v>
      </c>
      <c r="G16" s="22">
        <f t="shared" si="3"/>
        <v>47.26966667</v>
      </c>
      <c r="H16" s="22">
        <f t="shared" si="3"/>
        <v>50.94033333</v>
      </c>
      <c r="I16" s="22">
        <f t="shared" si="3"/>
        <v>53.64933333</v>
      </c>
      <c r="J16" s="22">
        <f t="shared" si="3"/>
        <v>51.798</v>
      </c>
      <c r="K16" s="22">
        <f t="shared" si="3"/>
        <v>48.76766667</v>
      </c>
      <c r="L16" s="22">
        <f t="shared" si="3"/>
        <v>50.447</v>
      </c>
      <c r="M16" s="22">
        <f t="shared" si="3"/>
        <v>56.95833333</v>
      </c>
      <c r="N16" s="22">
        <f t="shared" si="3"/>
        <v>56.17</v>
      </c>
      <c r="O16" s="22">
        <f t="shared" si="3"/>
        <v>56.942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2">
        <v>43009.0</v>
      </c>
      <c r="B17" s="18">
        <f>IFERROR(__xludf.DUMMYFUNCTION("""COMPUTED_VALUE"""),50.69566666666666)</f>
        <v>50.69566667</v>
      </c>
      <c r="C17" s="14"/>
      <c r="D17" s="1" t="s">
        <v>25</v>
      </c>
      <c r="E17" s="23">
        <f t="shared" ref="E17:O17" si="4">AVERAGE(E11:E13)</f>
        <v>44.803</v>
      </c>
      <c r="F17" s="23">
        <f t="shared" si="4"/>
        <v>47.04166667</v>
      </c>
      <c r="G17" s="23">
        <f t="shared" si="4"/>
        <v>49.36833333</v>
      </c>
      <c r="H17" s="23">
        <f t="shared" si="4"/>
        <v>50.69566667</v>
      </c>
      <c r="I17" s="23">
        <f t="shared" si="4"/>
        <v>52.97933333</v>
      </c>
      <c r="J17" s="23">
        <f t="shared" si="4"/>
        <v>50.85833333</v>
      </c>
      <c r="K17" s="23">
        <f t="shared" si="4"/>
        <v>48.17966667</v>
      </c>
      <c r="L17" s="23">
        <f t="shared" si="4"/>
        <v>50.66733333</v>
      </c>
      <c r="M17" s="23">
        <f t="shared" si="4"/>
        <v>57.068</v>
      </c>
      <c r="N17" s="23">
        <f t="shared" si="4"/>
        <v>55.93266667</v>
      </c>
      <c r="O17" s="23">
        <f t="shared" si="4"/>
        <v>58.32066667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2">
        <v>43101.0</v>
      </c>
      <c r="B18" s="18">
        <f>IFERROR(__xludf.DUMMYFUNCTION("""COMPUTED_VALUE"""),51.88733333333334)</f>
        <v>51.88733333</v>
      </c>
      <c r="C18" s="1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">
        <v>43191.0</v>
      </c>
      <c r="B19" s="18">
        <f>IFERROR(__xludf.DUMMYFUNCTION("""COMPUTED_VALUE"""),52.72533333333333)</f>
        <v>52.72533333</v>
      </c>
      <c r="C19" s="8"/>
    </row>
    <row r="20">
      <c r="A20" s="2">
        <v>43282.0</v>
      </c>
      <c r="B20" s="18">
        <f>IFERROR(__xludf.DUMMYFUNCTION("""COMPUTED_VALUE"""),53.64933333333334)</f>
        <v>53.64933333</v>
      </c>
      <c r="C20" s="19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W20" s="15"/>
    </row>
    <row r="21">
      <c r="A21" s="2">
        <v>43374.0</v>
      </c>
      <c r="B21" s="18">
        <f>IFERROR(__xludf.DUMMYFUNCTION("""COMPUTED_VALUE"""),52.97933333333333)</f>
        <v>52.97933333</v>
      </c>
      <c r="C21" s="8"/>
    </row>
    <row r="22">
      <c r="A22" s="2">
        <v>43466.0</v>
      </c>
      <c r="B22" s="18">
        <f>IFERROR(__xludf.DUMMYFUNCTION("""COMPUTED_VALUE"""),52.379999999999995)</f>
        <v>52.38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2">
        <v>43556.0</v>
      </c>
      <c r="B23" s="18">
        <f>IFERROR(__xludf.DUMMYFUNCTION("""COMPUTED_VALUE"""),51.907000000000004)</f>
        <v>51.907</v>
      </c>
      <c r="C23" s="8"/>
    </row>
    <row r="24">
      <c r="A24" s="2">
        <v>43647.0</v>
      </c>
      <c r="B24" s="18">
        <f>IFERROR(__xludf.DUMMYFUNCTION("""COMPUTED_VALUE"""),51.798)</f>
        <v>51.798</v>
      </c>
      <c r="C24" s="8"/>
      <c r="D24" s="15"/>
    </row>
    <row r="25">
      <c r="A25" s="2">
        <v>43739.0</v>
      </c>
      <c r="B25" s="18">
        <f>IFERROR(__xludf.DUMMYFUNCTION("""COMPUTED_VALUE"""),50.85833333333333)</f>
        <v>50.85833333</v>
      </c>
      <c r="C25" s="8"/>
    </row>
    <row r="26">
      <c r="A26" s="2">
        <v>43831.0</v>
      </c>
      <c r="B26" s="18">
        <f>IFERROR(__xludf.DUMMYFUNCTION("""COMPUTED_VALUE"""),50.961666666666666)</f>
        <v>50.96166667</v>
      </c>
      <c r="C26" s="8"/>
    </row>
    <row r="27">
      <c r="A27" s="2">
        <v>43922.0</v>
      </c>
      <c r="B27" s="18">
        <f>IFERROR(__xludf.DUMMYFUNCTION("""COMPUTED_VALUE"""),50.389)</f>
        <v>50.389</v>
      </c>
      <c r="C27" s="8"/>
    </row>
    <row r="28">
      <c r="A28" s="2">
        <v>44013.0</v>
      </c>
      <c r="B28" s="18">
        <f>IFERROR(__xludf.DUMMYFUNCTION("""COMPUTED_VALUE"""),48.76766666666666)</f>
        <v>48.76766667</v>
      </c>
      <c r="C28" s="8"/>
    </row>
    <row r="29">
      <c r="A29" s="2">
        <v>44105.0</v>
      </c>
      <c r="B29" s="18">
        <f>IFERROR(__xludf.DUMMYFUNCTION("""COMPUTED_VALUE"""),48.17966666666666)</f>
        <v>48.17966667</v>
      </c>
      <c r="C29" s="8"/>
    </row>
    <row r="30">
      <c r="A30" s="2">
        <v>44197.0</v>
      </c>
      <c r="B30" s="18">
        <f>IFERROR(__xludf.DUMMYFUNCTION("""COMPUTED_VALUE"""),48.40800000000001)</f>
        <v>48.408</v>
      </c>
      <c r="C30" s="8"/>
    </row>
    <row r="31">
      <c r="A31" s="2">
        <v>44287.0</v>
      </c>
      <c r="B31" s="18">
        <f>IFERROR(__xludf.DUMMYFUNCTION("""COMPUTED_VALUE"""),48.27833333333333)</f>
        <v>48.27833333</v>
      </c>
      <c r="C31" s="8"/>
    </row>
    <row r="32">
      <c r="A32" s="2">
        <v>44378.0</v>
      </c>
      <c r="B32" s="18">
        <f>IFERROR(__xludf.DUMMYFUNCTION("""COMPUTED_VALUE"""),50.447)</f>
        <v>50.447</v>
      </c>
      <c r="C32" s="8"/>
    </row>
    <row r="33">
      <c r="A33" s="2">
        <v>44470.0</v>
      </c>
      <c r="B33" s="18">
        <f>IFERROR(__xludf.DUMMYFUNCTION("""COMPUTED_VALUE"""),50.66733333333334)</f>
        <v>50.66733333</v>
      </c>
      <c r="C33" s="8"/>
    </row>
    <row r="34">
      <c r="A34" s="2">
        <v>44562.0</v>
      </c>
      <c r="B34" s="18">
        <f>IFERROR(__xludf.DUMMYFUNCTION("""COMPUTED_VALUE"""),51.508)</f>
        <v>51.508</v>
      </c>
      <c r="C34" s="8"/>
    </row>
    <row r="35">
      <c r="A35" s="2">
        <v>44652.0</v>
      </c>
      <c r="B35" s="18">
        <f>IFERROR(__xludf.DUMMYFUNCTION("""COMPUTED_VALUE"""),53.140666666666675)</f>
        <v>53.14066667</v>
      </c>
      <c r="C35" s="8"/>
    </row>
    <row r="36">
      <c r="A36" s="2">
        <v>44743.0</v>
      </c>
      <c r="B36" s="18">
        <f>IFERROR(__xludf.DUMMYFUNCTION("""COMPUTED_VALUE"""),56.958333333333336)</f>
        <v>56.95833333</v>
      </c>
      <c r="C36" s="8"/>
    </row>
    <row r="37">
      <c r="A37" s="2">
        <v>44835.0</v>
      </c>
      <c r="B37" s="18">
        <f>IFERROR(__xludf.DUMMYFUNCTION("""COMPUTED_VALUE"""),57.068000000000005)</f>
        <v>57.068</v>
      </c>
      <c r="C37" s="8"/>
    </row>
    <row r="38">
      <c r="A38" s="2">
        <v>44927.0</v>
      </c>
      <c r="B38" s="18">
        <f>IFERROR(__xludf.DUMMYFUNCTION("""COMPUTED_VALUE"""),54.762)</f>
        <v>54.762</v>
      </c>
      <c r="C38" s="8"/>
    </row>
    <row r="39">
      <c r="A39" s="2">
        <v>45017.0</v>
      </c>
      <c r="B39" s="18">
        <f>IFERROR(__xludf.DUMMYFUNCTION("""COMPUTED_VALUE"""),55.788000000000004)</f>
        <v>55.788</v>
      </c>
      <c r="C39" s="8"/>
    </row>
    <row r="40">
      <c r="A40" s="2">
        <v>45108.0</v>
      </c>
      <c r="B40" s="18">
        <f>IFERROR(__xludf.DUMMYFUNCTION("""COMPUTED_VALUE"""),56.169999999999995)</f>
        <v>56.17</v>
      </c>
      <c r="C40" s="8"/>
    </row>
    <row r="41">
      <c r="A41" s="2">
        <v>45200.0</v>
      </c>
      <c r="B41" s="18">
        <f>IFERROR(__xludf.DUMMYFUNCTION("""COMPUTED_VALUE"""),55.93266666666667)</f>
        <v>55.93266667</v>
      </c>
      <c r="C41" s="8"/>
    </row>
    <row r="42">
      <c r="A42" s="2">
        <v>45292.0</v>
      </c>
      <c r="B42" s="18">
        <f>IFERROR(__xludf.DUMMYFUNCTION("""COMPUTED_VALUE"""),56.26766666666666)</f>
        <v>56.26766667</v>
      </c>
      <c r="C42" s="8"/>
    </row>
    <row r="43">
      <c r="A43" s="2">
        <v>45383.0</v>
      </c>
      <c r="B43" s="18">
        <f>IFERROR(__xludf.DUMMYFUNCTION("""COMPUTED_VALUE"""),58.395)</f>
        <v>58.395</v>
      </c>
      <c r="C43" s="8"/>
    </row>
    <row r="44">
      <c r="A44" s="2">
        <v>45474.0</v>
      </c>
      <c r="B44" s="18">
        <f>IFERROR(__xludf.DUMMYFUNCTION("""COMPUTED_VALUE"""),56.942)</f>
        <v>56.942</v>
      </c>
      <c r="C44" s="8"/>
    </row>
    <row r="45">
      <c r="A45" s="2">
        <v>45566.0</v>
      </c>
      <c r="B45" s="18">
        <f>IFERROR(__xludf.DUMMYFUNCTION("""COMPUTED_VALUE"""),58.320666666666675)</f>
        <v>58.32066667</v>
      </c>
      <c r="C45" s="8"/>
    </row>
    <row r="46">
      <c r="A46" s="2"/>
      <c r="B46" s="16"/>
      <c r="C46" s="8"/>
    </row>
    <row r="47">
      <c r="B47" s="16"/>
      <c r="C47" s="8"/>
    </row>
    <row r="48">
      <c r="B48" s="16"/>
      <c r="C48" s="8"/>
    </row>
    <row r="49">
      <c r="B49" s="16"/>
      <c r="C49" s="8"/>
    </row>
    <row r="50">
      <c r="B50" s="16"/>
      <c r="C50" s="8"/>
    </row>
    <row r="51">
      <c r="B51" s="16"/>
      <c r="C51" s="8"/>
    </row>
    <row r="52">
      <c r="B52" s="16"/>
      <c r="C52" s="8"/>
    </row>
    <row r="53">
      <c r="B53" s="16"/>
      <c r="C53" s="8"/>
    </row>
    <row r="54">
      <c r="B54" s="16"/>
      <c r="C54" s="8"/>
    </row>
    <row r="55">
      <c r="B55" s="16"/>
      <c r="C55" s="8"/>
    </row>
    <row r="56">
      <c r="B56" s="16"/>
      <c r="C56" s="8"/>
    </row>
    <row r="57">
      <c r="B57" s="16"/>
      <c r="C57" s="8"/>
    </row>
    <row r="58">
      <c r="B58" s="16"/>
      <c r="C58" s="8"/>
    </row>
    <row r="59">
      <c r="B59" s="16"/>
      <c r="C59" s="8"/>
    </row>
    <row r="60">
      <c r="B60" s="16"/>
      <c r="C60" s="8"/>
    </row>
    <row r="61">
      <c r="B61" s="16"/>
      <c r="C61" s="8"/>
    </row>
    <row r="62">
      <c r="B62" s="16"/>
      <c r="C62" s="8"/>
    </row>
    <row r="63">
      <c r="B63" s="16"/>
      <c r="C63" s="8"/>
    </row>
    <row r="64">
      <c r="B64" s="16"/>
      <c r="C64" s="8"/>
    </row>
    <row r="65">
      <c r="B65" s="16"/>
      <c r="C65" s="8"/>
    </row>
    <row r="66">
      <c r="B66" s="16"/>
      <c r="C66" s="8"/>
    </row>
    <row r="67">
      <c r="B67" s="16"/>
      <c r="C67" s="8"/>
    </row>
    <row r="68">
      <c r="B68" s="16"/>
      <c r="C68" s="8"/>
    </row>
    <row r="69">
      <c r="B69" s="16"/>
      <c r="C69" s="8"/>
    </row>
    <row r="70">
      <c r="B70" s="16"/>
      <c r="C70" s="8"/>
    </row>
    <row r="71">
      <c r="B71" s="16"/>
      <c r="C71" s="8"/>
    </row>
    <row r="72">
      <c r="B72" s="16"/>
      <c r="C72" s="8"/>
    </row>
    <row r="73">
      <c r="B73" s="16"/>
      <c r="C73" s="8"/>
    </row>
    <row r="74">
      <c r="B74" s="16"/>
      <c r="C74" s="8"/>
    </row>
    <row r="75">
      <c r="B75" s="16"/>
      <c r="C75" s="8"/>
    </row>
    <row r="76">
      <c r="B76" s="16"/>
      <c r="C76" s="8"/>
    </row>
    <row r="77">
      <c r="B77" s="16"/>
      <c r="C77" s="8"/>
    </row>
    <row r="78">
      <c r="B78" s="16"/>
      <c r="C78" s="8"/>
    </row>
    <row r="79">
      <c r="B79" s="16"/>
      <c r="C79" s="8"/>
    </row>
    <row r="80">
      <c r="B80" s="16"/>
      <c r="C80" s="8"/>
    </row>
    <row r="81">
      <c r="B81" s="16"/>
      <c r="C81" s="8"/>
    </row>
    <row r="82">
      <c r="B82" s="16"/>
      <c r="C82" s="8"/>
    </row>
    <row r="83">
      <c r="B83" s="16"/>
      <c r="C83" s="8"/>
    </row>
    <row r="84">
      <c r="B84" s="16"/>
      <c r="C84" s="8"/>
    </row>
    <row r="85">
      <c r="B85" s="16"/>
      <c r="C85" s="8"/>
    </row>
    <row r="86">
      <c r="B86" s="16"/>
      <c r="C86" s="8"/>
    </row>
    <row r="87">
      <c r="B87" s="16"/>
      <c r="C87" s="8"/>
    </row>
    <row r="88">
      <c r="B88" s="16"/>
      <c r="C88" s="8"/>
    </row>
    <row r="89">
      <c r="B89" s="16"/>
      <c r="C89" s="8"/>
    </row>
    <row r="90">
      <c r="B90" s="16"/>
      <c r="C90" s="8"/>
    </row>
    <row r="91">
      <c r="B91" s="16"/>
      <c r="C91" s="8"/>
    </row>
    <row r="92">
      <c r="B92" s="16"/>
      <c r="C92" s="8"/>
    </row>
    <row r="93">
      <c r="B93" s="16"/>
      <c r="C93" s="8"/>
    </row>
    <row r="94">
      <c r="B94" s="16"/>
      <c r="C94" s="8"/>
    </row>
    <row r="95">
      <c r="B95" s="16"/>
      <c r="C95" s="8"/>
    </row>
    <row r="96">
      <c r="B96" s="16"/>
      <c r="C96" s="8"/>
    </row>
    <row r="97">
      <c r="B97" s="16"/>
      <c r="C97" s="8"/>
    </row>
    <row r="98">
      <c r="B98" s="16"/>
      <c r="C98" s="8"/>
    </row>
    <row r="99">
      <c r="B99" s="16"/>
      <c r="C99" s="8"/>
    </row>
    <row r="100">
      <c r="B100" s="16"/>
      <c r="C100" s="8"/>
    </row>
    <row r="101">
      <c r="B101" s="16"/>
      <c r="C101" s="8"/>
    </row>
    <row r="102">
      <c r="B102" s="16"/>
      <c r="C102" s="8"/>
    </row>
    <row r="103">
      <c r="B103" s="16"/>
      <c r="C103" s="8"/>
    </row>
    <row r="104">
      <c r="B104" s="16"/>
      <c r="C104" s="8"/>
    </row>
    <row r="105">
      <c r="B105" s="16"/>
      <c r="C105" s="8"/>
    </row>
    <row r="106">
      <c r="B106" s="16"/>
      <c r="C106" s="8"/>
    </row>
    <row r="107">
      <c r="B107" s="16"/>
      <c r="C107" s="8"/>
    </row>
    <row r="108">
      <c r="B108" s="16"/>
      <c r="C108" s="8"/>
    </row>
    <row r="109">
      <c r="B109" s="16"/>
      <c r="C109" s="8"/>
    </row>
    <row r="110">
      <c r="B110" s="16"/>
      <c r="C110" s="8"/>
    </row>
    <row r="111">
      <c r="B111" s="16"/>
      <c r="C111" s="8"/>
    </row>
    <row r="112">
      <c r="B112" s="16"/>
      <c r="C112" s="8"/>
    </row>
    <row r="113">
      <c r="B113" s="16"/>
      <c r="C113" s="8"/>
    </row>
    <row r="114">
      <c r="B114" s="16"/>
      <c r="C114" s="8"/>
    </row>
    <row r="115">
      <c r="B115" s="16"/>
      <c r="C115" s="8"/>
    </row>
    <row r="116">
      <c r="B116" s="16"/>
      <c r="C116" s="8"/>
    </row>
    <row r="117">
      <c r="B117" s="16"/>
      <c r="C117" s="8"/>
    </row>
    <row r="118">
      <c r="B118" s="16"/>
      <c r="C118" s="8"/>
    </row>
    <row r="119">
      <c r="B119" s="16"/>
      <c r="C119" s="8"/>
    </row>
    <row r="120">
      <c r="B120" s="16"/>
      <c r="C120" s="8"/>
    </row>
    <row r="121">
      <c r="B121" s="16"/>
      <c r="C121" s="8"/>
    </row>
    <row r="122">
      <c r="B122" s="16"/>
      <c r="C122" s="8"/>
    </row>
    <row r="123">
      <c r="B123" s="16"/>
      <c r="C123" s="8"/>
    </row>
    <row r="124">
      <c r="B124" s="16"/>
      <c r="C124" s="8"/>
    </row>
    <row r="125">
      <c r="B125" s="16"/>
      <c r="C125" s="8"/>
    </row>
    <row r="126">
      <c r="B126" s="16"/>
      <c r="C126" s="8"/>
    </row>
    <row r="127">
      <c r="B127" s="16"/>
      <c r="C127" s="8"/>
    </row>
    <row r="128">
      <c r="B128" s="16"/>
      <c r="C128" s="8"/>
    </row>
    <row r="129">
      <c r="B129" s="16"/>
      <c r="C129" s="8"/>
    </row>
    <row r="130">
      <c r="B130" s="16"/>
      <c r="C130" s="8"/>
    </row>
    <row r="131">
      <c r="B131" s="16"/>
      <c r="C131" s="8"/>
    </row>
    <row r="132">
      <c r="B132" s="16"/>
      <c r="C132" s="8"/>
    </row>
    <row r="133">
      <c r="B133" s="16"/>
      <c r="C133" s="8"/>
    </row>
    <row r="134">
      <c r="B134" s="16"/>
      <c r="C134" s="8"/>
    </row>
    <row r="135">
      <c r="B135" s="16"/>
      <c r="C135" s="8"/>
    </row>
    <row r="136">
      <c r="B136" s="16"/>
      <c r="C136" s="8"/>
    </row>
    <row r="137">
      <c r="B137" s="16"/>
      <c r="C137" s="8"/>
    </row>
    <row r="138">
      <c r="B138" s="16"/>
      <c r="C138" s="8"/>
    </row>
    <row r="139">
      <c r="B139" s="16"/>
      <c r="C139" s="8"/>
    </row>
    <row r="140">
      <c r="B140" s="16"/>
      <c r="C140" s="8"/>
    </row>
    <row r="141">
      <c r="B141" s="16"/>
      <c r="C141" s="8"/>
    </row>
    <row r="142">
      <c r="B142" s="16"/>
      <c r="C142" s="8"/>
    </row>
    <row r="143">
      <c r="B143" s="16"/>
      <c r="C143" s="8"/>
    </row>
    <row r="144">
      <c r="B144" s="16"/>
      <c r="C144" s="8"/>
    </row>
    <row r="145">
      <c r="B145" s="16"/>
      <c r="C145" s="8"/>
    </row>
    <row r="146">
      <c r="B146" s="16"/>
      <c r="C146" s="8"/>
    </row>
    <row r="147">
      <c r="B147" s="16"/>
      <c r="C147" s="8"/>
    </row>
    <row r="148">
      <c r="B148" s="16"/>
      <c r="C148" s="8"/>
    </row>
    <row r="149">
      <c r="B149" s="16"/>
      <c r="C149" s="8"/>
    </row>
    <row r="150">
      <c r="B150" s="16"/>
      <c r="C150" s="8"/>
    </row>
    <row r="151">
      <c r="B151" s="16"/>
      <c r="C151" s="8"/>
    </row>
    <row r="152">
      <c r="B152" s="16"/>
      <c r="C152" s="8"/>
    </row>
    <row r="153">
      <c r="B153" s="16"/>
      <c r="C153" s="8"/>
    </row>
    <row r="154">
      <c r="B154" s="16"/>
      <c r="C154" s="8"/>
    </row>
    <row r="155">
      <c r="B155" s="16"/>
      <c r="C155" s="8"/>
    </row>
    <row r="156">
      <c r="B156" s="16"/>
      <c r="C156" s="8"/>
    </row>
    <row r="157">
      <c r="B157" s="16"/>
      <c r="C157" s="8"/>
    </row>
    <row r="158">
      <c r="B158" s="16"/>
      <c r="C158" s="8"/>
    </row>
    <row r="159">
      <c r="B159" s="16"/>
      <c r="C159" s="8"/>
    </row>
    <row r="160">
      <c r="B160" s="16"/>
      <c r="C160" s="8"/>
    </row>
    <row r="161">
      <c r="B161" s="16"/>
      <c r="C161" s="8"/>
    </row>
    <row r="162">
      <c r="B162" s="16"/>
      <c r="C162" s="8"/>
    </row>
    <row r="163">
      <c r="B163" s="16"/>
      <c r="C163" s="8"/>
    </row>
    <row r="164">
      <c r="B164" s="16"/>
      <c r="C164" s="8"/>
    </row>
    <row r="165">
      <c r="B165" s="16"/>
      <c r="C165" s="8"/>
    </row>
    <row r="166">
      <c r="B166" s="16"/>
      <c r="C166" s="8"/>
    </row>
    <row r="167">
      <c r="B167" s="16"/>
      <c r="C167" s="8"/>
    </row>
    <row r="168">
      <c r="B168" s="16"/>
      <c r="C168" s="8"/>
    </row>
    <row r="169">
      <c r="B169" s="16"/>
      <c r="C169" s="8"/>
    </row>
    <row r="170">
      <c r="B170" s="16"/>
      <c r="C170" s="8"/>
    </row>
    <row r="171">
      <c r="B171" s="16"/>
      <c r="C171" s="8"/>
    </row>
    <row r="172">
      <c r="B172" s="16"/>
      <c r="C172" s="8"/>
    </row>
    <row r="173">
      <c r="B173" s="16"/>
      <c r="C173" s="8"/>
    </row>
    <row r="174">
      <c r="B174" s="16"/>
      <c r="C174" s="8"/>
    </row>
    <row r="175">
      <c r="B175" s="16"/>
      <c r="C175" s="8"/>
    </row>
    <row r="176">
      <c r="B176" s="16"/>
      <c r="C176" s="8"/>
    </row>
    <row r="177">
      <c r="B177" s="16"/>
      <c r="C177" s="8"/>
    </row>
    <row r="178">
      <c r="B178" s="16"/>
      <c r="C178" s="8"/>
    </row>
    <row r="179">
      <c r="B179" s="16"/>
      <c r="C179" s="8"/>
    </row>
    <row r="180">
      <c r="B180" s="16"/>
      <c r="C180" s="8"/>
    </row>
    <row r="181">
      <c r="B181" s="16"/>
      <c r="C181" s="8"/>
    </row>
    <row r="182">
      <c r="B182" s="16"/>
      <c r="C182" s="8"/>
    </row>
    <row r="183">
      <c r="B183" s="16"/>
      <c r="C183" s="8"/>
    </row>
    <row r="184">
      <c r="B184" s="16"/>
      <c r="C184" s="8"/>
    </row>
    <row r="185">
      <c r="B185" s="16"/>
      <c r="C185" s="8"/>
    </row>
    <row r="186">
      <c r="B186" s="16"/>
      <c r="C186" s="8"/>
    </row>
    <row r="187">
      <c r="B187" s="16"/>
      <c r="C187" s="8"/>
    </row>
    <row r="188">
      <c r="B188" s="16"/>
      <c r="C188" s="8"/>
    </row>
    <row r="189">
      <c r="B189" s="16"/>
      <c r="C189" s="8"/>
    </row>
    <row r="190">
      <c r="B190" s="16"/>
      <c r="C190" s="8"/>
    </row>
    <row r="191">
      <c r="B191" s="16"/>
      <c r="C191" s="8"/>
    </row>
    <row r="192">
      <c r="B192" s="16"/>
      <c r="C192" s="8"/>
    </row>
    <row r="193">
      <c r="B193" s="16"/>
      <c r="C193" s="8"/>
    </row>
    <row r="194">
      <c r="B194" s="16"/>
      <c r="C194" s="8"/>
    </row>
    <row r="195">
      <c r="B195" s="16"/>
      <c r="C195" s="8"/>
    </row>
    <row r="196">
      <c r="B196" s="16"/>
      <c r="C196" s="8"/>
    </row>
    <row r="197">
      <c r="B197" s="16"/>
      <c r="C197" s="8"/>
    </row>
    <row r="198">
      <c r="B198" s="16"/>
      <c r="C198" s="8"/>
    </row>
    <row r="199">
      <c r="B199" s="16"/>
      <c r="C199" s="8"/>
    </row>
    <row r="200">
      <c r="B200" s="16"/>
      <c r="C200" s="8"/>
    </row>
    <row r="201">
      <c r="B201" s="16"/>
      <c r="C201" s="8"/>
    </row>
    <row r="202">
      <c r="B202" s="16"/>
      <c r="C202" s="8"/>
    </row>
    <row r="203">
      <c r="B203" s="16"/>
      <c r="C203" s="8"/>
    </row>
    <row r="204">
      <c r="B204" s="16"/>
      <c r="C204" s="8"/>
    </row>
    <row r="205">
      <c r="B205" s="16"/>
      <c r="C205" s="8"/>
    </row>
    <row r="206">
      <c r="B206" s="16"/>
      <c r="C206" s="8"/>
    </row>
    <row r="207">
      <c r="B207" s="16"/>
      <c r="C207" s="8"/>
    </row>
    <row r="208">
      <c r="B208" s="16"/>
      <c r="C208" s="8"/>
    </row>
    <row r="209">
      <c r="B209" s="16"/>
      <c r="C209" s="8"/>
    </row>
    <row r="210">
      <c r="B210" s="16"/>
      <c r="C210" s="8"/>
    </row>
    <row r="211">
      <c r="B211" s="16"/>
      <c r="C211" s="8"/>
    </row>
    <row r="212">
      <c r="B212" s="16"/>
      <c r="C212" s="8"/>
    </row>
    <row r="213">
      <c r="B213" s="16"/>
      <c r="C213" s="8"/>
    </row>
    <row r="214">
      <c r="B214" s="16"/>
      <c r="C214" s="8"/>
    </row>
    <row r="215">
      <c r="B215" s="16"/>
      <c r="C215" s="8"/>
    </row>
    <row r="216">
      <c r="B216" s="16"/>
      <c r="C216" s="8"/>
    </row>
    <row r="217">
      <c r="B217" s="16"/>
      <c r="C217" s="8"/>
    </row>
    <row r="218">
      <c r="B218" s="16"/>
      <c r="C218" s="8"/>
    </row>
    <row r="219">
      <c r="B219" s="16"/>
      <c r="C219" s="8"/>
    </row>
    <row r="220">
      <c r="B220" s="16"/>
      <c r="C220" s="8"/>
    </row>
    <row r="221">
      <c r="B221" s="16"/>
      <c r="C221" s="8"/>
    </row>
    <row r="222">
      <c r="B222" s="16"/>
      <c r="C222" s="8"/>
    </row>
    <row r="223">
      <c r="B223" s="16"/>
      <c r="C223" s="8"/>
    </row>
    <row r="224">
      <c r="B224" s="16"/>
      <c r="C224" s="8"/>
    </row>
    <row r="225">
      <c r="B225" s="16"/>
      <c r="C225" s="8"/>
    </row>
    <row r="226">
      <c r="B226" s="16"/>
      <c r="C226" s="8"/>
    </row>
    <row r="227">
      <c r="B227" s="16"/>
      <c r="C227" s="8"/>
    </row>
    <row r="228">
      <c r="B228" s="16"/>
      <c r="C228" s="8"/>
    </row>
    <row r="229">
      <c r="B229" s="16"/>
      <c r="C229" s="8"/>
    </row>
    <row r="230">
      <c r="B230" s="16"/>
      <c r="C230" s="8"/>
    </row>
    <row r="231">
      <c r="B231" s="16"/>
      <c r="C231" s="8"/>
    </row>
    <row r="232">
      <c r="B232" s="16"/>
      <c r="C232" s="8"/>
    </row>
    <row r="233">
      <c r="B233" s="16"/>
      <c r="C233" s="8"/>
    </row>
    <row r="234">
      <c r="B234" s="16"/>
      <c r="C234" s="8"/>
    </row>
    <row r="235">
      <c r="B235" s="16"/>
      <c r="C235" s="8"/>
    </row>
    <row r="236">
      <c r="B236" s="16"/>
      <c r="C236" s="8"/>
    </row>
    <row r="237">
      <c r="B237" s="16"/>
      <c r="C237" s="8"/>
    </row>
    <row r="238">
      <c r="B238" s="16"/>
      <c r="C238" s="8"/>
    </row>
    <row r="239">
      <c r="B239" s="16"/>
      <c r="C239" s="8"/>
    </row>
    <row r="240">
      <c r="B240" s="16"/>
      <c r="C240" s="8"/>
    </row>
    <row r="241">
      <c r="B241" s="16"/>
      <c r="C241" s="8"/>
    </row>
    <row r="242">
      <c r="B242" s="16"/>
      <c r="C242" s="8"/>
    </row>
    <row r="243">
      <c r="B243" s="16"/>
      <c r="C243" s="8"/>
    </row>
    <row r="244">
      <c r="B244" s="16"/>
      <c r="C244" s="8"/>
    </row>
    <row r="245">
      <c r="B245" s="16"/>
      <c r="C245" s="8"/>
    </row>
    <row r="246">
      <c r="B246" s="16"/>
      <c r="C246" s="8"/>
    </row>
    <row r="247">
      <c r="B247" s="16"/>
      <c r="C247" s="8"/>
    </row>
    <row r="248">
      <c r="B248" s="16"/>
      <c r="C248" s="8"/>
    </row>
    <row r="249">
      <c r="B249" s="16"/>
      <c r="C249" s="8"/>
    </row>
    <row r="250">
      <c r="B250" s="16"/>
      <c r="C250" s="8"/>
    </row>
    <row r="251">
      <c r="B251" s="16"/>
      <c r="C251" s="8"/>
    </row>
    <row r="252">
      <c r="B252" s="16"/>
      <c r="C252" s="8"/>
    </row>
    <row r="253">
      <c r="B253" s="16"/>
      <c r="C253" s="8"/>
    </row>
    <row r="254">
      <c r="B254" s="16"/>
      <c r="C254" s="8"/>
    </row>
    <row r="255">
      <c r="B255" s="16"/>
      <c r="C255" s="8"/>
    </row>
    <row r="256">
      <c r="B256" s="16"/>
      <c r="C256" s="8"/>
    </row>
    <row r="257">
      <c r="B257" s="16"/>
      <c r="C257" s="8"/>
    </row>
    <row r="258">
      <c r="B258" s="16"/>
      <c r="C258" s="8"/>
    </row>
    <row r="259">
      <c r="B259" s="16"/>
      <c r="C259" s="8"/>
    </row>
    <row r="260">
      <c r="B260" s="16"/>
      <c r="C260" s="8"/>
    </row>
    <row r="261">
      <c r="B261" s="16"/>
      <c r="C261" s="8"/>
    </row>
    <row r="262">
      <c r="B262" s="16"/>
      <c r="C262" s="8"/>
    </row>
    <row r="263">
      <c r="B263" s="16"/>
      <c r="C263" s="8"/>
    </row>
    <row r="264">
      <c r="B264" s="16"/>
      <c r="C264" s="8"/>
    </row>
    <row r="265">
      <c r="B265" s="16"/>
      <c r="C265" s="8"/>
    </row>
    <row r="266">
      <c r="B266" s="16"/>
      <c r="C266" s="8"/>
    </row>
    <row r="267">
      <c r="B267" s="16"/>
      <c r="C267" s="8"/>
    </row>
    <row r="268">
      <c r="B268" s="16"/>
      <c r="C268" s="8"/>
    </row>
    <row r="269">
      <c r="B269" s="16"/>
      <c r="C269" s="8"/>
    </row>
    <row r="270">
      <c r="B270" s="16"/>
      <c r="C270" s="8"/>
    </row>
    <row r="271">
      <c r="B271" s="16"/>
      <c r="C271" s="8"/>
    </row>
    <row r="272">
      <c r="B272" s="16"/>
      <c r="C272" s="8"/>
    </row>
    <row r="273">
      <c r="B273" s="16"/>
      <c r="C273" s="8"/>
    </row>
    <row r="274">
      <c r="B274" s="16"/>
      <c r="C274" s="8"/>
    </row>
    <row r="275">
      <c r="B275" s="16"/>
      <c r="C275" s="8"/>
    </row>
    <row r="276">
      <c r="B276" s="16"/>
      <c r="C276" s="8"/>
    </row>
    <row r="277">
      <c r="B277" s="16"/>
      <c r="C277" s="8"/>
    </row>
    <row r="278">
      <c r="B278" s="16"/>
      <c r="C278" s="8"/>
    </row>
    <row r="279">
      <c r="B279" s="16"/>
      <c r="C279" s="8"/>
    </row>
    <row r="280">
      <c r="B280" s="16"/>
      <c r="C280" s="8"/>
    </row>
    <row r="281">
      <c r="B281" s="16"/>
      <c r="C281" s="8"/>
    </row>
    <row r="282">
      <c r="B282" s="16"/>
      <c r="C282" s="8"/>
    </row>
    <row r="283">
      <c r="B283" s="16"/>
      <c r="C283" s="8"/>
    </row>
    <row r="284">
      <c r="B284" s="16"/>
      <c r="C284" s="8"/>
    </row>
    <row r="285">
      <c r="B285" s="16"/>
      <c r="C285" s="8"/>
    </row>
    <row r="286">
      <c r="B286" s="16"/>
      <c r="C286" s="8"/>
    </row>
    <row r="287">
      <c r="B287" s="16"/>
      <c r="C287" s="8"/>
    </row>
    <row r="288">
      <c r="B288" s="16"/>
      <c r="C288" s="8"/>
    </row>
    <row r="289">
      <c r="B289" s="16"/>
      <c r="C289" s="8"/>
    </row>
    <row r="290">
      <c r="B290" s="16"/>
      <c r="C290" s="8"/>
    </row>
    <row r="291">
      <c r="B291" s="16"/>
      <c r="C291" s="8"/>
    </row>
    <row r="292">
      <c r="B292" s="16"/>
      <c r="C292" s="8"/>
    </row>
    <row r="293">
      <c r="B293" s="16"/>
      <c r="C293" s="8"/>
    </row>
    <row r="294">
      <c r="B294" s="16"/>
      <c r="C294" s="8"/>
    </row>
    <row r="295">
      <c r="B295" s="16"/>
      <c r="C295" s="8"/>
    </row>
    <row r="296">
      <c r="B296" s="16"/>
      <c r="C296" s="8"/>
    </row>
    <row r="297">
      <c r="B297" s="16"/>
      <c r="C297" s="8"/>
    </row>
    <row r="298">
      <c r="B298" s="16"/>
      <c r="C298" s="8"/>
    </row>
    <row r="299">
      <c r="B299" s="16"/>
      <c r="C299" s="8"/>
    </row>
    <row r="300">
      <c r="B300" s="16"/>
      <c r="C300" s="8"/>
    </row>
    <row r="301">
      <c r="B301" s="16"/>
      <c r="C301" s="8"/>
    </row>
    <row r="302">
      <c r="B302" s="16"/>
      <c r="C302" s="8"/>
    </row>
    <row r="303">
      <c r="B303" s="16"/>
      <c r="C303" s="8"/>
    </row>
    <row r="304">
      <c r="B304" s="16"/>
      <c r="C304" s="8"/>
    </row>
    <row r="305">
      <c r="B305" s="16"/>
      <c r="C305" s="8"/>
    </row>
    <row r="306">
      <c r="B306" s="16"/>
      <c r="C306" s="8"/>
    </row>
    <row r="307">
      <c r="B307" s="16"/>
      <c r="C307" s="8"/>
    </row>
    <row r="308">
      <c r="B308" s="16"/>
      <c r="C308" s="8"/>
    </row>
    <row r="309">
      <c r="B309" s="16"/>
      <c r="C309" s="8"/>
    </row>
    <row r="310">
      <c r="B310" s="16"/>
      <c r="C310" s="8"/>
    </row>
    <row r="311">
      <c r="B311" s="16"/>
      <c r="C311" s="8"/>
    </row>
    <row r="312">
      <c r="B312" s="16"/>
      <c r="C312" s="8"/>
    </row>
    <row r="313">
      <c r="B313" s="16"/>
      <c r="C313" s="8"/>
    </row>
    <row r="314">
      <c r="B314" s="16"/>
      <c r="C314" s="8"/>
    </row>
    <row r="315">
      <c r="B315" s="16"/>
      <c r="C315" s="8"/>
    </row>
    <row r="316">
      <c r="B316" s="16"/>
      <c r="C316" s="8"/>
    </row>
    <row r="317">
      <c r="B317" s="16"/>
      <c r="C317" s="8"/>
    </row>
    <row r="318">
      <c r="B318" s="16"/>
      <c r="C318" s="8"/>
    </row>
    <row r="319">
      <c r="B319" s="16"/>
      <c r="C319" s="8"/>
    </row>
    <row r="320">
      <c r="B320" s="16"/>
      <c r="C320" s="8"/>
    </row>
    <row r="321">
      <c r="B321" s="16"/>
      <c r="C321" s="8"/>
    </row>
    <row r="322">
      <c r="B322" s="16"/>
      <c r="C322" s="8"/>
    </row>
    <row r="323">
      <c r="B323" s="16"/>
      <c r="C323" s="8"/>
    </row>
    <row r="324">
      <c r="B324" s="16"/>
      <c r="C324" s="8"/>
    </row>
    <row r="325">
      <c r="B325" s="16"/>
      <c r="C325" s="8"/>
    </row>
    <row r="326">
      <c r="B326" s="16"/>
      <c r="C326" s="8"/>
    </row>
    <row r="327">
      <c r="B327" s="16"/>
      <c r="C327" s="8"/>
    </row>
    <row r="328">
      <c r="B328" s="16"/>
      <c r="C328" s="8"/>
    </row>
    <row r="329">
      <c r="B329" s="16"/>
      <c r="C329" s="8"/>
    </row>
    <row r="330">
      <c r="B330" s="16"/>
      <c r="C330" s="8"/>
    </row>
    <row r="331">
      <c r="B331" s="16"/>
      <c r="C331" s="8"/>
    </row>
    <row r="332">
      <c r="B332" s="16"/>
      <c r="C332" s="8"/>
    </row>
    <row r="333">
      <c r="B333" s="16"/>
      <c r="C333" s="8"/>
    </row>
    <row r="334">
      <c r="B334" s="16"/>
      <c r="C334" s="8"/>
    </row>
    <row r="335">
      <c r="B335" s="16"/>
      <c r="C335" s="8"/>
    </row>
    <row r="336">
      <c r="B336" s="16"/>
      <c r="C336" s="8"/>
    </row>
    <row r="337">
      <c r="B337" s="16"/>
      <c r="C337" s="8"/>
    </row>
    <row r="338">
      <c r="B338" s="16"/>
      <c r="C338" s="8"/>
    </row>
    <row r="339">
      <c r="B339" s="16"/>
      <c r="C339" s="8"/>
    </row>
    <row r="340">
      <c r="B340" s="16"/>
      <c r="C340" s="8"/>
    </row>
    <row r="341">
      <c r="B341" s="16"/>
      <c r="C341" s="8"/>
    </row>
    <row r="342">
      <c r="B342" s="16"/>
      <c r="C342" s="8"/>
    </row>
    <row r="343">
      <c r="B343" s="16"/>
      <c r="C343" s="8"/>
    </row>
    <row r="344">
      <c r="B344" s="16"/>
      <c r="C344" s="8"/>
    </row>
    <row r="345">
      <c r="B345" s="16"/>
      <c r="C345" s="8"/>
    </row>
    <row r="346">
      <c r="B346" s="16"/>
      <c r="C346" s="8"/>
    </row>
    <row r="347">
      <c r="B347" s="16"/>
      <c r="C347" s="8"/>
    </row>
    <row r="348">
      <c r="B348" s="16"/>
      <c r="C348" s="8"/>
    </row>
    <row r="349">
      <c r="B349" s="16"/>
      <c r="C349" s="8"/>
    </row>
    <row r="350">
      <c r="B350" s="16"/>
      <c r="C350" s="8"/>
    </row>
    <row r="351">
      <c r="B351" s="16"/>
      <c r="C351" s="8"/>
    </row>
    <row r="352">
      <c r="B352" s="16"/>
      <c r="C352" s="8"/>
    </row>
    <row r="353">
      <c r="B353" s="16"/>
      <c r="C353" s="8"/>
    </row>
    <row r="354">
      <c r="B354" s="16"/>
      <c r="C354" s="8"/>
    </row>
    <row r="355">
      <c r="B355" s="16"/>
      <c r="C355" s="8"/>
    </row>
    <row r="356">
      <c r="B356" s="16"/>
      <c r="C356" s="8"/>
    </row>
    <row r="357">
      <c r="B357" s="16"/>
      <c r="C357" s="8"/>
    </row>
    <row r="358">
      <c r="B358" s="16"/>
      <c r="C358" s="8"/>
    </row>
    <row r="359">
      <c r="B359" s="16"/>
      <c r="C359" s="8"/>
    </row>
    <row r="360">
      <c r="B360" s="16"/>
      <c r="C360" s="8"/>
    </row>
    <row r="361">
      <c r="B361" s="16"/>
      <c r="C361" s="8"/>
    </row>
    <row r="362">
      <c r="B362" s="16"/>
      <c r="C362" s="8"/>
    </row>
    <row r="363">
      <c r="B363" s="16"/>
      <c r="C363" s="8"/>
    </row>
    <row r="364">
      <c r="B364" s="16"/>
      <c r="C364" s="8"/>
    </row>
    <row r="365">
      <c r="B365" s="16"/>
      <c r="C365" s="8"/>
    </row>
    <row r="366">
      <c r="B366" s="16"/>
      <c r="C366" s="8"/>
    </row>
    <row r="367">
      <c r="B367" s="16"/>
      <c r="C367" s="8"/>
    </row>
    <row r="368">
      <c r="B368" s="16"/>
      <c r="C368" s="8"/>
    </row>
    <row r="369">
      <c r="B369" s="16"/>
      <c r="C369" s="8"/>
    </row>
    <row r="370">
      <c r="B370" s="16"/>
      <c r="C370" s="8"/>
    </row>
    <row r="371">
      <c r="B371" s="16"/>
      <c r="C371" s="8"/>
    </row>
    <row r="372">
      <c r="B372" s="16"/>
      <c r="C372" s="8"/>
    </row>
    <row r="373">
      <c r="B373" s="16"/>
      <c r="C373" s="8"/>
    </row>
    <row r="374">
      <c r="B374" s="16"/>
      <c r="C374" s="8"/>
    </row>
    <row r="375">
      <c r="B375" s="16"/>
      <c r="C375" s="8"/>
    </row>
    <row r="376">
      <c r="B376" s="16"/>
      <c r="C376" s="8"/>
    </row>
    <row r="377">
      <c r="B377" s="16"/>
      <c r="C377" s="8"/>
    </row>
    <row r="378">
      <c r="B378" s="16"/>
      <c r="C378" s="8"/>
    </row>
    <row r="379">
      <c r="B379" s="16"/>
      <c r="C379" s="8"/>
    </row>
    <row r="380">
      <c r="B380" s="16"/>
      <c r="C380" s="8"/>
    </row>
    <row r="381">
      <c r="B381" s="16"/>
      <c r="C381" s="8"/>
    </row>
    <row r="382">
      <c r="B382" s="16"/>
      <c r="C382" s="8"/>
    </row>
    <row r="383">
      <c r="B383" s="16"/>
      <c r="C383" s="8"/>
    </row>
    <row r="384">
      <c r="B384" s="16"/>
      <c r="C384" s="8"/>
    </row>
    <row r="385">
      <c r="B385" s="16"/>
      <c r="C385" s="8"/>
    </row>
    <row r="386">
      <c r="B386" s="16"/>
      <c r="C386" s="8"/>
    </row>
    <row r="387">
      <c r="B387" s="16"/>
      <c r="C387" s="8"/>
    </row>
    <row r="388">
      <c r="B388" s="16"/>
      <c r="C388" s="8"/>
    </row>
    <row r="389">
      <c r="B389" s="16"/>
      <c r="C389" s="8"/>
    </row>
    <row r="390">
      <c r="B390" s="16"/>
      <c r="C390" s="8"/>
    </row>
    <row r="391">
      <c r="B391" s="16"/>
      <c r="C391" s="8"/>
    </row>
    <row r="392">
      <c r="B392" s="16"/>
      <c r="C392" s="8"/>
    </row>
    <row r="393">
      <c r="B393" s="16"/>
      <c r="C393" s="8"/>
    </row>
    <row r="394">
      <c r="B394" s="16"/>
      <c r="C394" s="8"/>
    </row>
    <row r="395">
      <c r="B395" s="16"/>
      <c r="C395" s="8"/>
    </row>
    <row r="396">
      <c r="B396" s="16"/>
      <c r="C396" s="8"/>
    </row>
    <row r="397">
      <c r="B397" s="16"/>
      <c r="C397" s="8"/>
    </row>
    <row r="398">
      <c r="B398" s="16"/>
      <c r="C398" s="8"/>
    </row>
    <row r="399">
      <c r="B399" s="16"/>
      <c r="C399" s="8"/>
    </row>
    <row r="400">
      <c r="B400" s="16"/>
      <c r="C400" s="8"/>
    </row>
    <row r="401">
      <c r="B401" s="16"/>
      <c r="C401" s="8"/>
    </row>
    <row r="402">
      <c r="B402" s="16"/>
      <c r="C402" s="8"/>
    </row>
    <row r="403">
      <c r="B403" s="16"/>
      <c r="C403" s="8"/>
    </row>
    <row r="404">
      <c r="B404" s="16"/>
      <c r="C404" s="8"/>
    </row>
    <row r="405">
      <c r="B405" s="16"/>
      <c r="C405" s="8"/>
    </row>
    <row r="406">
      <c r="B406" s="16"/>
      <c r="C406" s="8"/>
    </row>
    <row r="407">
      <c r="B407" s="16"/>
      <c r="C407" s="8"/>
    </row>
    <row r="408">
      <c r="B408" s="16"/>
      <c r="C408" s="8"/>
    </row>
    <row r="409">
      <c r="B409" s="16"/>
      <c r="C409" s="8"/>
    </row>
    <row r="410">
      <c r="B410" s="16"/>
      <c r="C410" s="8"/>
    </row>
    <row r="411">
      <c r="B411" s="16"/>
      <c r="C411" s="8"/>
    </row>
    <row r="412">
      <c r="B412" s="16"/>
      <c r="C412" s="8"/>
    </row>
    <row r="413">
      <c r="B413" s="16"/>
      <c r="C413" s="8"/>
    </row>
    <row r="414">
      <c r="B414" s="16"/>
      <c r="C414" s="8"/>
    </row>
    <row r="415">
      <c r="B415" s="16"/>
      <c r="C415" s="8"/>
    </row>
    <row r="416">
      <c r="B416" s="16"/>
      <c r="C416" s="8"/>
    </row>
    <row r="417">
      <c r="B417" s="16"/>
      <c r="C417" s="8"/>
    </row>
    <row r="418">
      <c r="B418" s="16"/>
      <c r="C418" s="8"/>
    </row>
    <row r="419">
      <c r="B419" s="16"/>
      <c r="C419" s="8"/>
    </row>
    <row r="420">
      <c r="B420" s="16"/>
      <c r="C420" s="8"/>
    </row>
    <row r="421">
      <c r="B421" s="16"/>
      <c r="C421" s="8"/>
    </row>
    <row r="422">
      <c r="B422" s="16"/>
      <c r="C422" s="8"/>
    </row>
    <row r="423">
      <c r="B423" s="16"/>
      <c r="C423" s="8"/>
    </row>
    <row r="424">
      <c r="B424" s="16"/>
      <c r="C424" s="8"/>
    </row>
    <row r="425">
      <c r="B425" s="16"/>
      <c r="C425" s="8"/>
    </row>
    <row r="426">
      <c r="B426" s="16"/>
      <c r="C426" s="8"/>
    </row>
    <row r="427">
      <c r="B427" s="16"/>
      <c r="C427" s="8"/>
    </row>
    <row r="428">
      <c r="B428" s="16"/>
      <c r="C428" s="8"/>
    </row>
    <row r="429">
      <c r="B429" s="16"/>
      <c r="C429" s="8"/>
    </row>
    <row r="430">
      <c r="B430" s="16"/>
      <c r="C430" s="8"/>
    </row>
    <row r="431">
      <c r="B431" s="16"/>
      <c r="C431" s="8"/>
    </row>
    <row r="432">
      <c r="B432" s="16"/>
      <c r="C432" s="8"/>
    </row>
    <row r="433">
      <c r="B433" s="16"/>
      <c r="C433" s="8"/>
    </row>
    <row r="434">
      <c r="B434" s="16"/>
      <c r="C434" s="8"/>
    </row>
    <row r="435">
      <c r="B435" s="16"/>
      <c r="C435" s="8"/>
    </row>
    <row r="436">
      <c r="B436" s="16"/>
      <c r="C436" s="8"/>
    </row>
    <row r="437">
      <c r="B437" s="16"/>
      <c r="C437" s="8"/>
    </row>
    <row r="438">
      <c r="B438" s="16"/>
      <c r="C438" s="8"/>
    </row>
    <row r="439">
      <c r="B439" s="16"/>
      <c r="C439" s="8"/>
    </row>
    <row r="440">
      <c r="B440" s="16"/>
      <c r="C440" s="8"/>
    </row>
    <row r="441">
      <c r="B441" s="16"/>
      <c r="C441" s="8"/>
    </row>
    <row r="442">
      <c r="B442" s="16"/>
      <c r="C442" s="8"/>
    </row>
    <row r="443">
      <c r="B443" s="16"/>
      <c r="C443" s="8"/>
    </row>
    <row r="444">
      <c r="B444" s="16"/>
      <c r="C444" s="8"/>
    </row>
    <row r="445">
      <c r="B445" s="16"/>
      <c r="C445" s="8"/>
    </row>
    <row r="446">
      <c r="B446" s="16"/>
      <c r="C446" s="8"/>
    </row>
    <row r="447">
      <c r="B447" s="16"/>
      <c r="C447" s="8"/>
    </row>
    <row r="448">
      <c r="B448" s="16"/>
      <c r="C448" s="8"/>
    </row>
    <row r="449">
      <c r="B449" s="16"/>
      <c r="C449" s="8"/>
    </row>
    <row r="450">
      <c r="B450" s="16"/>
      <c r="C450" s="8"/>
    </row>
    <row r="451">
      <c r="B451" s="16"/>
      <c r="C451" s="8"/>
    </row>
    <row r="452">
      <c r="B452" s="16"/>
      <c r="C452" s="8"/>
    </row>
    <row r="453">
      <c r="B453" s="16"/>
      <c r="C453" s="8"/>
    </row>
    <row r="454">
      <c r="B454" s="16"/>
      <c r="C454" s="8"/>
    </row>
    <row r="455">
      <c r="B455" s="16"/>
      <c r="C455" s="8"/>
    </row>
    <row r="456">
      <c r="B456" s="16"/>
      <c r="C456" s="8"/>
    </row>
    <row r="457">
      <c r="B457" s="16"/>
      <c r="C457" s="8"/>
    </row>
    <row r="458">
      <c r="B458" s="16"/>
      <c r="C458" s="8"/>
    </row>
    <row r="459">
      <c r="B459" s="16"/>
      <c r="C459" s="8"/>
    </row>
    <row r="460">
      <c r="B460" s="16"/>
      <c r="C460" s="8"/>
    </row>
    <row r="461">
      <c r="B461" s="16"/>
      <c r="C461" s="8"/>
    </row>
    <row r="462">
      <c r="B462" s="16"/>
      <c r="C462" s="8"/>
    </row>
    <row r="463">
      <c r="B463" s="16"/>
      <c r="C463" s="8"/>
    </row>
    <row r="464">
      <c r="B464" s="16"/>
      <c r="C464" s="8"/>
    </row>
    <row r="465">
      <c r="B465" s="16"/>
      <c r="C465" s="8"/>
    </row>
    <row r="466">
      <c r="B466" s="16"/>
      <c r="C466" s="8"/>
    </row>
    <row r="467">
      <c r="B467" s="16"/>
      <c r="C467" s="8"/>
    </row>
    <row r="468">
      <c r="B468" s="16"/>
      <c r="C468" s="8"/>
    </row>
    <row r="469">
      <c r="B469" s="16"/>
      <c r="C469" s="8"/>
    </row>
    <row r="470">
      <c r="B470" s="16"/>
      <c r="C470" s="8"/>
    </row>
    <row r="471">
      <c r="B471" s="16"/>
      <c r="C471" s="8"/>
    </row>
    <row r="472">
      <c r="B472" s="16"/>
      <c r="C472" s="8"/>
    </row>
    <row r="473">
      <c r="B473" s="16"/>
      <c r="C473" s="8"/>
    </row>
    <row r="474">
      <c r="B474" s="16"/>
      <c r="C474" s="8"/>
    </row>
    <row r="475">
      <c r="B475" s="16"/>
      <c r="C475" s="8"/>
    </row>
    <row r="476">
      <c r="B476" s="16"/>
      <c r="C476" s="8"/>
    </row>
    <row r="477">
      <c r="B477" s="16"/>
      <c r="C477" s="8"/>
    </row>
    <row r="478">
      <c r="B478" s="16"/>
      <c r="C478" s="8"/>
    </row>
    <row r="479">
      <c r="B479" s="16"/>
      <c r="C479" s="8"/>
    </row>
    <row r="480">
      <c r="B480" s="16"/>
      <c r="C480" s="8"/>
    </row>
    <row r="481">
      <c r="B481" s="16"/>
      <c r="C481" s="8"/>
    </row>
    <row r="482">
      <c r="B482" s="16"/>
      <c r="C482" s="8"/>
    </row>
    <row r="483">
      <c r="B483" s="16"/>
      <c r="C483" s="8"/>
    </row>
    <row r="484">
      <c r="B484" s="16"/>
      <c r="C484" s="8"/>
    </row>
    <row r="485">
      <c r="B485" s="16"/>
      <c r="C485" s="8"/>
    </row>
    <row r="486">
      <c r="B486" s="16"/>
      <c r="C486" s="8"/>
    </row>
    <row r="487">
      <c r="B487" s="16"/>
      <c r="C487" s="8"/>
    </row>
    <row r="488">
      <c r="B488" s="16"/>
      <c r="C488" s="8"/>
    </row>
    <row r="489">
      <c r="B489" s="16"/>
      <c r="C489" s="8"/>
    </row>
    <row r="490">
      <c r="B490" s="16"/>
      <c r="C490" s="8"/>
    </row>
    <row r="491">
      <c r="B491" s="16"/>
      <c r="C491" s="8"/>
    </row>
    <row r="492">
      <c r="B492" s="16"/>
      <c r="C492" s="8"/>
    </row>
    <row r="493">
      <c r="B493" s="16"/>
      <c r="C493" s="8"/>
    </row>
    <row r="494">
      <c r="B494" s="16"/>
      <c r="C494" s="8"/>
    </row>
    <row r="495">
      <c r="B495" s="16"/>
      <c r="C495" s="8"/>
    </row>
    <row r="496">
      <c r="B496" s="16"/>
      <c r="C496" s="8"/>
    </row>
    <row r="497">
      <c r="B497" s="16"/>
      <c r="C497" s="8"/>
    </row>
    <row r="498">
      <c r="B498" s="16"/>
      <c r="C498" s="8"/>
    </row>
    <row r="499">
      <c r="B499" s="16"/>
      <c r="C499" s="8"/>
    </row>
    <row r="500">
      <c r="B500" s="16"/>
      <c r="C500" s="8"/>
    </row>
    <row r="501">
      <c r="B501" s="16"/>
      <c r="C501" s="8"/>
    </row>
    <row r="502">
      <c r="B502" s="16"/>
      <c r="C502" s="8"/>
    </row>
    <row r="503">
      <c r="B503" s="16"/>
      <c r="C503" s="8"/>
    </row>
    <row r="504">
      <c r="B504" s="16"/>
      <c r="C504" s="8"/>
    </row>
    <row r="505">
      <c r="B505" s="16"/>
      <c r="C505" s="8"/>
    </row>
    <row r="506">
      <c r="B506" s="16"/>
      <c r="C506" s="8"/>
    </row>
    <row r="507">
      <c r="B507" s="16"/>
      <c r="C507" s="8"/>
    </row>
    <row r="508">
      <c r="B508" s="16"/>
      <c r="C508" s="8"/>
    </row>
    <row r="509">
      <c r="B509" s="16"/>
      <c r="C509" s="8"/>
    </row>
    <row r="510">
      <c r="B510" s="16"/>
      <c r="C510" s="8"/>
    </row>
    <row r="511">
      <c r="B511" s="16"/>
      <c r="C511" s="8"/>
    </row>
    <row r="512">
      <c r="B512" s="16"/>
      <c r="C512" s="8"/>
    </row>
    <row r="513">
      <c r="B513" s="16"/>
      <c r="C513" s="8"/>
    </row>
    <row r="514">
      <c r="B514" s="16"/>
      <c r="C514" s="8"/>
    </row>
    <row r="515">
      <c r="B515" s="16"/>
      <c r="C515" s="8"/>
    </row>
    <row r="516">
      <c r="B516" s="16"/>
      <c r="C516" s="8"/>
    </row>
    <row r="517">
      <c r="B517" s="16"/>
      <c r="C517" s="8"/>
    </row>
    <row r="518">
      <c r="B518" s="16"/>
      <c r="C518" s="8"/>
    </row>
    <row r="519">
      <c r="B519" s="16"/>
      <c r="C519" s="8"/>
    </row>
    <row r="520">
      <c r="B520" s="16"/>
      <c r="C520" s="8"/>
    </row>
    <row r="521">
      <c r="B521" s="16"/>
      <c r="C521" s="8"/>
    </row>
    <row r="522">
      <c r="B522" s="16"/>
      <c r="C522" s="8"/>
    </row>
    <row r="523">
      <c r="B523" s="16"/>
      <c r="C523" s="8"/>
    </row>
    <row r="524">
      <c r="B524" s="16"/>
      <c r="C524" s="8"/>
    </row>
    <row r="525">
      <c r="B525" s="16"/>
      <c r="C525" s="8"/>
    </row>
    <row r="526">
      <c r="B526" s="16"/>
      <c r="C526" s="8"/>
    </row>
    <row r="527">
      <c r="B527" s="16"/>
      <c r="C527" s="8"/>
    </row>
    <row r="528">
      <c r="B528" s="16"/>
      <c r="C528" s="8"/>
    </row>
    <row r="529">
      <c r="B529" s="16"/>
      <c r="C529" s="8"/>
    </row>
    <row r="530">
      <c r="B530" s="16"/>
      <c r="C530" s="8"/>
    </row>
    <row r="531">
      <c r="B531" s="16"/>
      <c r="C531" s="8"/>
    </row>
    <row r="532">
      <c r="B532" s="16"/>
      <c r="C532" s="8"/>
    </row>
    <row r="533">
      <c r="B533" s="16"/>
      <c r="C533" s="8"/>
    </row>
    <row r="534">
      <c r="B534" s="16"/>
      <c r="C534" s="8"/>
    </row>
    <row r="535">
      <c r="B535" s="16"/>
      <c r="C535" s="8"/>
    </row>
    <row r="536">
      <c r="B536" s="16"/>
      <c r="C536" s="8"/>
    </row>
    <row r="537">
      <c r="B537" s="16"/>
      <c r="C537" s="8"/>
    </row>
    <row r="538">
      <c r="B538" s="16"/>
      <c r="C538" s="8"/>
    </row>
    <row r="539">
      <c r="B539" s="16"/>
      <c r="C539" s="8"/>
    </row>
    <row r="540">
      <c r="B540" s="16"/>
      <c r="C540" s="8"/>
    </row>
    <row r="541">
      <c r="B541" s="16"/>
      <c r="C541" s="8"/>
    </row>
    <row r="542">
      <c r="B542" s="16"/>
      <c r="C542" s="8"/>
    </row>
    <row r="543">
      <c r="B543" s="16"/>
      <c r="C543" s="8"/>
    </row>
    <row r="544">
      <c r="B544" s="16"/>
      <c r="C544" s="8"/>
    </row>
    <row r="545">
      <c r="B545" s="16"/>
      <c r="C545" s="8"/>
    </row>
    <row r="546">
      <c r="B546" s="16"/>
      <c r="C546" s="8"/>
    </row>
    <row r="547">
      <c r="B547" s="16"/>
      <c r="C547" s="8"/>
    </row>
    <row r="548">
      <c r="B548" s="16"/>
      <c r="C548" s="8"/>
    </row>
    <row r="549">
      <c r="B549" s="16"/>
      <c r="C549" s="8"/>
    </row>
    <row r="550">
      <c r="B550" s="16"/>
      <c r="C550" s="8"/>
    </row>
    <row r="551">
      <c r="B551" s="16"/>
      <c r="C551" s="8"/>
    </row>
    <row r="552">
      <c r="B552" s="16"/>
      <c r="C552" s="8"/>
    </row>
    <row r="553">
      <c r="B553" s="16"/>
      <c r="C553" s="8"/>
    </row>
    <row r="554">
      <c r="B554" s="16"/>
      <c r="C554" s="8"/>
    </row>
    <row r="555">
      <c r="B555" s="16"/>
      <c r="C555" s="8"/>
    </row>
    <row r="556">
      <c r="B556" s="16"/>
      <c r="C556" s="8"/>
    </row>
    <row r="557">
      <c r="B557" s="16"/>
      <c r="C557" s="8"/>
    </row>
    <row r="558">
      <c r="B558" s="16"/>
      <c r="C558" s="8"/>
    </row>
    <row r="559">
      <c r="B559" s="16"/>
      <c r="C559" s="8"/>
    </row>
    <row r="560">
      <c r="B560" s="16"/>
      <c r="C560" s="8"/>
    </row>
    <row r="561">
      <c r="B561" s="16"/>
      <c r="C561" s="8"/>
    </row>
    <row r="562">
      <c r="B562" s="16"/>
      <c r="C562" s="8"/>
    </row>
    <row r="563">
      <c r="B563" s="16"/>
      <c r="C563" s="8"/>
    </row>
    <row r="564">
      <c r="B564" s="16"/>
      <c r="C564" s="8"/>
    </row>
    <row r="565">
      <c r="B565" s="16"/>
      <c r="C565" s="8"/>
    </row>
    <row r="566">
      <c r="B566" s="16"/>
      <c r="C566" s="8"/>
    </row>
    <row r="567">
      <c r="B567" s="16"/>
      <c r="C567" s="8"/>
    </row>
    <row r="568">
      <c r="B568" s="16"/>
      <c r="C568" s="8"/>
    </row>
    <row r="569">
      <c r="B569" s="16"/>
      <c r="C569" s="8"/>
    </row>
    <row r="570">
      <c r="B570" s="16"/>
      <c r="C570" s="8"/>
    </row>
    <row r="571">
      <c r="B571" s="16"/>
      <c r="C571" s="8"/>
    </row>
    <row r="572">
      <c r="B572" s="16"/>
      <c r="C572" s="8"/>
    </row>
    <row r="573">
      <c r="B573" s="16"/>
      <c r="C573" s="8"/>
    </row>
    <row r="574">
      <c r="B574" s="16"/>
      <c r="C574" s="8"/>
    </row>
    <row r="575">
      <c r="B575" s="16"/>
      <c r="C575" s="8"/>
    </row>
    <row r="576">
      <c r="B576" s="16"/>
      <c r="C576" s="8"/>
    </row>
    <row r="577">
      <c r="B577" s="16"/>
      <c r="C577" s="8"/>
    </row>
    <row r="578">
      <c r="B578" s="16"/>
      <c r="C578" s="8"/>
    </row>
    <row r="579">
      <c r="B579" s="16"/>
      <c r="C579" s="8"/>
    </row>
    <row r="580">
      <c r="B580" s="16"/>
      <c r="C580" s="8"/>
    </row>
    <row r="581">
      <c r="B581" s="16"/>
      <c r="C581" s="8"/>
    </row>
    <row r="582">
      <c r="B582" s="16"/>
      <c r="C582" s="8"/>
    </row>
    <row r="583">
      <c r="B583" s="16"/>
      <c r="C583" s="8"/>
    </row>
    <row r="584">
      <c r="B584" s="16"/>
      <c r="C584" s="8"/>
    </row>
    <row r="585">
      <c r="B585" s="16"/>
      <c r="C585" s="8"/>
    </row>
    <row r="586">
      <c r="B586" s="16"/>
      <c r="C586" s="8"/>
    </row>
    <row r="587">
      <c r="B587" s="16"/>
      <c r="C587" s="8"/>
    </row>
    <row r="588">
      <c r="B588" s="16"/>
      <c r="C588" s="8"/>
    </row>
    <row r="589">
      <c r="B589" s="16"/>
      <c r="C589" s="8"/>
    </row>
    <row r="590">
      <c r="B590" s="16"/>
      <c r="C590" s="8"/>
    </row>
    <row r="591">
      <c r="B591" s="16"/>
      <c r="C591" s="8"/>
    </row>
    <row r="592">
      <c r="B592" s="16"/>
      <c r="C592" s="8"/>
    </row>
    <row r="593">
      <c r="B593" s="16"/>
      <c r="C593" s="8"/>
    </row>
    <row r="594">
      <c r="B594" s="16"/>
      <c r="C594" s="8"/>
    </row>
    <row r="595">
      <c r="B595" s="16"/>
      <c r="C595" s="8"/>
    </row>
    <row r="596">
      <c r="B596" s="16"/>
      <c r="C596" s="8"/>
    </row>
    <row r="597">
      <c r="B597" s="16"/>
      <c r="C597" s="8"/>
    </row>
    <row r="598">
      <c r="B598" s="16"/>
      <c r="C598" s="8"/>
    </row>
    <row r="599">
      <c r="B599" s="16"/>
      <c r="C599" s="8"/>
    </row>
    <row r="600">
      <c r="B600" s="16"/>
      <c r="C600" s="8"/>
    </row>
    <row r="601">
      <c r="B601" s="16"/>
      <c r="C601" s="8"/>
    </row>
    <row r="602">
      <c r="B602" s="16"/>
      <c r="C602" s="8"/>
    </row>
    <row r="603">
      <c r="B603" s="16"/>
      <c r="C603" s="8"/>
    </row>
    <row r="604">
      <c r="B604" s="16"/>
      <c r="C604" s="8"/>
    </row>
    <row r="605">
      <c r="B605" s="16"/>
      <c r="C605" s="8"/>
    </row>
    <row r="606">
      <c r="B606" s="16"/>
      <c r="C606" s="8"/>
    </row>
    <row r="607">
      <c r="B607" s="16"/>
      <c r="C607" s="8"/>
    </row>
    <row r="608">
      <c r="B608" s="16"/>
      <c r="C608" s="8"/>
    </row>
    <row r="609">
      <c r="B609" s="16"/>
      <c r="C609" s="8"/>
    </row>
    <row r="610">
      <c r="B610" s="16"/>
      <c r="C610" s="8"/>
    </row>
    <row r="611">
      <c r="B611" s="16"/>
      <c r="C611" s="8"/>
    </row>
    <row r="612">
      <c r="B612" s="16"/>
      <c r="C612" s="8"/>
    </row>
    <row r="613">
      <c r="B613" s="16"/>
      <c r="C613" s="8"/>
    </row>
    <row r="614">
      <c r="B614" s="16"/>
      <c r="C614" s="8"/>
    </row>
    <row r="615">
      <c r="B615" s="16"/>
      <c r="C615" s="8"/>
    </row>
    <row r="616">
      <c r="B616" s="16"/>
      <c r="C616" s="8"/>
    </row>
    <row r="617">
      <c r="B617" s="16"/>
      <c r="C617" s="8"/>
    </row>
    <row r="618">
      <c r="B618" s="16"/>
      <c r="C618" s="8"/>
    </row>
    <row r="619">
      <c r="B619" s="16"/>
      <c r="C619" s="8"/>
    </row>
    <row r="620">
      <c r="B620" s="16"/>
      <c r="C620" s="8"/>
    </row>
    <row r="621">
      <c r="B621" s="16"/>
      <c r="C621" s="8"/>
    </row>
    <row r="622">
      <c r="B622" s="16"/>
      <c r="C622" s="8"/>
    </row>
    <row r="623">
      <c r="B623" s="16"/>
      <c r="C623" s="8"/>
    </row>
    <row r="624">
      <c r="B624" s="16"/>
      <c r="C624" s="8"/>
    </row>
    <row r="625">
      <c r="B625" s="16"/>
      <c r="C625" s="8"/>
    </row>
    <row r="626">
      <c r="B626" s="16"/>
      <c r="C626" s="8"/>
    </row>
    <row r="627">
      <c r="B627" s="16"/>
      <c r="C627" s="8"/>
    </row>
    <row r="628">
      <c r="B628" s="16"/>
      <c r="C628" s="8"/>
    </row>
    <row r="629">
      <c r="B629" s="16"/>
      <c r="C629" s="8"/>
    </row>
    <row r="630">
      <c r="B630" s="16"/>
      <c r="C630" s="8"/>
    </row>
    <row r="631">
      <c r="B631" s="16"/>
      <c r="C631" s="8"/>
    </row>
    <row r="632">
      <c r="B632" s="16"/>
      <c r="C632" s="8"/>
    </row>
    <row r="633">
      <c r="B633" s="16"/>
      <c r="C633" s="8"/>
    </row>
    <row r="634">
      <c r="B634" s="16"/>
      <c r="C634" s="8"/>
    </row>
    <row r="635">
      <c r="B635" s="16"/>
      <c r="C635" s="8"/>
    </row>
    <row r="636">
      <c r="B636" s="16"/>
      <c r="C636" s="8"/>
    </row>
    <row r="637">
      <c r="B637" s="16"/>
      <c r="C637" s="8"/>
    </row>
    <row r="638">
      <c r="B638" s="16"/>
      <c r="C638" s="8"/>
    </row>
    <row r="639">
      <c r="B639" s="16"/>
      <c r="C639" s="8"/>
    </row>
    <row r="640">
      <c r="B640" s="16"/>
      <c r="C640" s="8"/>
    </row>
    <row r="641">
      <c r="B641" s="16"/>
      <c r="C641" s="8"/>
    </row>
    <row r="642">
      <c r="B642" s="16"/>
      <c r="C642" s="8"/>
    </row>
    <row r="643">
      <c r="B643" s="16"/>
      <c r="C643" s="8"/>
    </row>
    <row r="644">
      <c r="B644" s="16"/>
      <c r="C644" s="8"/>
    </row>
    <row r="645">
      <c r="B645" s="16"/>
      <c r="C645" s="8"/>
    </row>
    <row r="646">
      <c r="B646" s="16"/>
      <c r="C646" s="8"/>
    </row>
    <row r="647">
      <c r="B647" s="16"/>
      <c r="C647" s="8"/>
    </row>
    <row r="648">
      <c r="B648" s="16"/>
      <c r="C648" s="8"/>
    </row>
    <row r="649">
      <c r="B649" s="16"/>
      <c r="C649" s="8"/>
    </row>
    <row r="650">
      <c r="B650" s="16"/>
      <c r="C650" s="8"/>
    </row>
    <row r="651">
      <c r="B651" s="16"/>
      <c r="C651" s="8"/>
    </row>
    <row r="652">
      <c r="B652" s="16"/>
      <c r="C652" s="8"/>
    </row>
    <row r="653">
      <c r="B653" s="16"/>
      <c r="C653" s="8"/>
    </row>
    <row r="654">
      <c r="B654" s="16"/>
      <c r="C654" s="8"/>
    </row>
    <row r="655">
      <c r="B655" s="16"/>
      <c r="C655" s="8"/>
    </row>
    <row r="656">
      <c r="B656" s="16"/>
      <c r="C656" s="8"/>
    </row>
    <row r="657">
      <c r="B657" s="16"/>
      <c r="C657" s="8"/>
    </row>
    <row r="658">
      <c r="B658" s="16"/>
      <c r="C658" s="8"/>
    </row>
    <row r="659">
      <c r="B659" s="16"/>
      <c r="C659" s="8"/>
    </row>
    <row r="660">
      <c r="B660" s="16"/>
      <c r="C660" s="8"/>
    </row>
    <row r="661">
      <c r="B661" s="16"/>
      <c r="C661" s="8"/>
    </row>
    <row r="662">
      <c r="B662" s="16"/>
      <c r="C662" s="8"/>
    </row>
    <row r="663">
      <c r="B663" s="16"/>
      <c r="C663" s="8"/>
    </row>
    <row r="664">
      <c r="B664" s="16"/>
      <c r="C664" s="8"/>
    </row>
    <row r="665">
      <c r="B665" s="16"/>
      <c r="C665" s="8"/>
    </row>
    <row r="666">
      <c r="B666" s="16"/>
      <c r="C666" s="8"/>
    </row>
    <row r="667">
      <c r="B667" s="16"/>
      <c r="C667" s="8"/>
    </row>
    <row r="668">
      <c r="B668" s="16"/>
      <c r="C668" s="8"/>
    </row>
    <row r="669">
      <c r="B669" s="16"/>
      <c r="C669" s="8"/>
    </row>
    <row r="670">
      <c r="B670" s="16"/>
      <c r="C670" s="8"/>
    </row>
    <row r="671">
      <c r="B671" s="16"/>
      <c r="C671" s="8"/>
    </row>
    <row r="672">
      <c r="B672" s="16"/>
      <c r="C672" s="8"/>
    </row>
    <row r="673">
      <c r="B673" s="16"/>
      <c r="C673" s="8"/>
    </row>
    <row r="674">
      <c r="B674" s="16"/>
      <c r="C674" s="8"/>
    </row>
    <row r="675">
      <c r="B675" s="16"/>
      <c r="C675" s="8"/>
    </row>
    <row r="676">
      <c r="B676" s="16"/>
      <c r="C676" s="8"/>
    </row>
    <row r="677">
      <c r="B677" s="16"/>
      <c r="C677" s="8"/>
    </row>
    <row r="678">
      <c r="B678" s="16"/>
      <c r="C678" s="8"/>
    </row>
    <row r="679">
      <c r="B679" s="16"/>
      <c r="C679" s="8"/>
    </row>
    <row r="680">
      <c r="B680" s="16"/>
      <c r="C680" s="8"/>
    </row>
    <row r="681">
      <c r="B681" s="16"/>
      <c r="C681" s="8"/>
    </row>
    <row r="682">
      <c r="B682" s="16"/>
      <c r="C682" s="8"/>
    </row>
    <row r="683">
      <c r="B683" s="16"/>
      <c r="C683" s="8"/>
    </row>
    <row r="684">
      <c r="B684" s="16"/>
      <c r="C684" s="8"/>
    </row>
    <row r="685">
      <c r="B685" s="16"/>
      <c r="C685" s="8"/>
    </row>
    <row r="686">
      <c r="B686" s="16"/>
      <c r="C686" s="8"/>
    </row>
    <row r="687">
      <c r="B687" s="16"/>
      <c r="C687" s="8"/>
    </row>
    <row r="688">
      <c r="B688" s="16"/>
      <c r="C688" s="8"/>
    </row>
    <row r="689">
      <c r="B689" s="16"/>
      <c r="C689" s="8"/>
    </row>
    <row r="690">
      <c r="B690" s="16"/>
      <c r="C690" s="8"/>
    </row>
    <row r="691">
      <c r="B691" s="16"/>
      <c r="C691" s="8"/>
    </row>
    <row r="692">
      <c r="B692" s="16"/>
      <c r="C692" s="8"/>
    </row>
    <row r="693">
      <c r="B693" s="16"/>
      <c r="C693" s="8"/>
    </row>
    <row r="694">
      <c r="B694" s="16"/>
      <c r="C694" s="8"/>
    </row>
    <row r="695">
      <c r="B695" s="16"/>
      <c r="C695" s="8"/>
    </row>
    <row r="696">
      <c r="B696" s="16"/>
      <c r="C696" s="8"/>
    </row>
    <row r="697">
      <c r="B697" s="16"/>
      <c r="C697" s="8"/>
    </row>
    <row r="698">
      <c r="B698" s="16"/>
      <c r="C698" s="8"/>
    </row>
    <row r="699">
      <c r="B699" s="16"/>
      <c r="C699" s="8"/>
    </row>
    <row r="700">
      <c r="B700" s="16"/>
      <c r="C700" s="8"/>
    </row>
    <row r="701">
      <c r="B701" s="16"/>
      <c r="C701" s="8"/>
    </row>
    <row r="702">
      <c r="B702" s="16"/>
      <c r="C702" s="8"/>
    </row>
    <row r="703">
      <c r="B703" s="16"/>
      <c r="C703" s="8"/>
    </row>
    <row r="704">
      <c r="B704" s="16"/>
      <c r="C704" s="8"/>
    </row>
    <row r="705">
      <c r="B705" s="16"/>
      <c r="C705" s="8"/>
    </row>
    <row r="706">
      <c r="B706" s="16"/>
      <c r="C706" s="8"/>
    </row>
    <row r="707">
      <c r="B707" s="16"/>
      <c r="C707" s="8"/>
    </row>
    <row r="708">
      <c r="B708" s="16"/>
      <c r="C708" s="8"/>
    </row>
    <row r="709">
      <c r="B709" s="16"/>
      <c r="C709" s="8"/>
    </row>
    <row r="710">
      <c r="B710" s="16"/>
      <c r="C710" s="8"/>
    </row>
    <row r="711">
      <c r="B711" s="16"/>
      <c r="C711" s="8"/>
    </row>
    <row r="712">
      <c r="B712" s="16"/>
      <c r="C712" s="8"/>
    </row>
    <row r="713">
      <c r="B713" s="16"/>
      <c r="C713" s="8"/>
    </row>
    <row r="714">
      <c r="B714" s="16"/>
      <c r="C714" s="8"/>
    </row>
    <row r="715">
      <c r="B715" s="16"/>
      <c r="C715" s="8"/>
    </row>
    <row r="716">
      <c r="B716" s="16"/>
      <c r="C716" s="8"/>
    </row>
    <row r="717">
      <c r="B717" s="16"/>
      <c r="C717" s="8"/>
    </row>
    <row r="718">
      <c r="B718" s="16"/>
      <c r="C718" s="8"/>
    </row>
    <row r="719">
      <c r="B719" s="16"/>
      <c r="C719" s="8"/>
    </row>
    <row r="720">
      <c r="B720" s="16"/>
      <c r="C720" s="8"/>
    </row>
    <row r="721">
      <c r="B721" s="16"/>
      <c r="C721" s="8"/>
    </row>
    <row r="722">
      <c r="B722" s="16"/>
      <c r="C722" s="8"/>
    </row>
    <row r="723">
      <c r="B723" s="16"/>
      <c r="C723" s="8"/>
    </row>
    <row r="724">
      <c r="B724" s="16"/>
      <c r="C724" s="8"/>
    </row>
    <row r="725">
      <c r="B725" s="16"/>
      <c r="C725" s="8"/>
    </row>
    <row r="726">
      <c r="B726" s="16"/>
      <c r="C726" s="8"/>
    </row>
    <row r="727">
      <c r="B727" s="16"/>
      <c r="C727" s="8"/>
    </row>
    <row r="728">
      <c r="B728" s="16"/>
      <c r="C728" s="8"/>
    </row>
    <row r="729">
      <c r="B729" s="16"/>
      <c r="C729" s="8"/>
    </row>
    <row r="730">
      <c r="B730" s="16"/>
      <c r="C730" s="8"/>
    </row>
    <row r="731">
      <c r="B731" s="16"/>
      <c r="C731" s="8"/>
    </row>
    <row r="732">
      <c r="B732" s="16"/>
      <c r="C732" s="8"/>
    </row>
    <row r="733">
      <c r="B733" s="16"/>
      <c r="C733" s="8"/>
    </row>
    <row r="734">
      <c r="B734" s="16"/>
      <c r="C734" s="8"/>
    </row>
    <row r="735">
      <c r="B735" s="16"/>
      <c r="C735" s="8"/>
    </row>
    <row r="736">
      <c r="B736" s="16"/>
      <c r="C736" s="8"/>
    </row>
    <row r="737">
      <c r="B737" s="16"/>
      <c r="C737" s="8"/>
    </row>
    <row r="738">
      <c r="B738" s="16"/>
      <c r="C738" s="8"/>
    </row>
    <row r="739">
      <c r="B739" s="16"/>
      <c r="C739" s="8"/>
    </row>
    <row r="740">
      <c r="B740" s="16"/>
      <c r="C740" s="8"/>
    </row>
    <row r="741">
      <c r="B741" s="16"/>
      <c r="C741" s="8"/>
    </row>
    <row r="742">
      <c r="B742" s="16"/>
      <c r="C742" s="8"/>
    </row>
    <row r="743">
      <c r="B743" s="16"/>
      <c r="C743" s="8"/>
    </row>
    <row r="744">
      <c r="B744" s="16"/>
      <c r="C744" s="8"/>
    </row>
    <row r="745">
      <c r="B745" s="16"/>
      <c r="C745" s="8"/>
    </row>
    <row r="746">
      <c r="B746" s="16"/>
      <c r="C746" s="8"/>
    </row>
    <row r="747">
      <c r="B747" s="16"/>
      <c r="C747" s="8"/>
    </row>
    <row r="748">
      <c r="B748" s="16"/>
      <c r="C748" s="8"/>
    </row>
    <row r="749">
      <c r="B749" s="16"/>
      <c r="C749" s="8"/>
    </row>
    <row r="750">
      <c r="B750" s="16"/>
      <c r="C750" s="8"/>
    </row>
    <row r="751">
      <c r="B751" s="16"/>
      <c r="C751" s="8"/>
    </row>
    <row r="752">
      <c r="B752" s="16"/>
      <c r="C752" s="8"/>
    </row>
    <row r="753">
      <c r="B753" s="16"/>
      <c r="C753" s="8"/>
    </row>
    <row r="754">
      <c r="B754" s="16"/>
      <c r="C754" s="8"/>
    </row>
    <row r="755">
      <c r="B755" s="16"/>
      <c r="C755" s="8"/>
    </row>
    <row r="756">
      <c r="B756" s="16"/>
      <c r="C756" s="8"/>
    </row>
    <row r="757">
      <c r="B757" s="16"/>
      <c r="C757" s="8"/>
    </row>
    <row r="758">
      <c r="B758" s="16"/>
      <c r="C758" s="8"/>
    </row>
    <row r="759">
      <c r="B759" s="16"/>
      <c r="C759" s="8"/>
    </row>
    <row r="760">
      <c r="B760" s="16"/>
      <c r="C760" s="8"/>
    </row>
    <row r="761">
      <c r="B761" s="16"/>
      <c r="C761" s="8"/>
    </row>
    <row r="762">
      <c r="B762" s="16"/>
      <c r="C762" s="8"/>
    </row>
    <row r="763">
      <c r="B763" s="16"/>
      <c r="C763" s="8"/>
    </row>
    <row r="764">
      <c r="B764" s="16"/>
      <c r="C764" s="8"/>
    </row>
    <row r="765">
      <c r="B765" s="16"/>
      <c r="C765" s="8"/>
    </row>
    <row r="766">
      <c r="B766" s="16"/>
      <c r="C766" s="8"/>
    </row>
    <row r="767">
      <c r="B767" s="16"/>
      <c r="C767" s="8"/>
    </row>
    <row r="768">
      <c r="B768" s="16"/>
      <c r="C768" s="8"/>
    </row>
    <row r="769">
      <c r="B769" s="16"/>
      <c r="C769" s="8"/>
    </row>
    <row r="770">
      <c r="B770" s="16"/>
      <c r="C770" s="8"/>
    </row>
    <row r="771">
      <c r="B771" s="16"/>
      <c r="C771" s="8"/>
    </row>
    <row r="772">
      <c r="B772" s="16"/>
      <c r="C772" s="8"/>
    </row>
    <row r="773">
      <c r="B773" s="16"/>
      <c r="C773" s="8"/>
    </row>
    <row r="774">
      <c r="B774" s="16"/>
      <c r="C774" s="8"/>
    </row>
    <row r="775">
      <c r="B775" s="16"/>
      <c r="C775" s="8"/>
    </row>
    <row r="776">
      <c r="B776" s="16"/>
      <c r="C776" s="8"/>
    </row>
    <row r="777">
      <c r="B777" s="16"/>
      <c r="C777" s="8"/>
    </row>
    <row r="778">
      <c r="B778" s="16"/>
      <c r="C778" s="8"/>
    </row>
    <row r="779">
      <c r="B779" s="16"/>
      <c r="C779" s="8"/>
    </row>
    <row r="780">
      <c r="B780" s="16"/>
      <c r="C780" s="8"/>
    </row>
    <row r="781">
      <c r="B781" s="16"/>
      <c r="C781" s="8"/>
    </row>
    <row r="782">
      <c r="B782" s="16"/>
      <c r="C782" s="8"/>
    </row>
    <row r="783">
      <c r="B783" s="16"/>
      <c r="C783" s="8"/>
    </row>
    <row r="784">
      <c r="B784" s="16"/>
      <c r="C784" s="8"/>
    </row>
    <row r="785">
      <c r="B785" s="16"/>
      <c r="C785" s="8"/>
    </row>
    <row r="786">
      <c r="B786" s="16"/>
      <c r="C786" s="8"/>
    </row>
    <row r="787">
      <c r="B787" s="16"/>
      <c r="C787" s="8"/>
    </row>
    <row r="788">
      <c r="B788" s="16"/>
      <c r="C788" s="8"/>
    </row>
    <row r="789">
      <c r="B789" s="16"/>
      <c r="C789" s="8"/>
    </row>
    <row r="790">
      <c r="B790" s="16"/>
      <c r="C790" s="8"/>
    </row>
    <row r="791">
      <c r="B791" s="16"/>
      <c r="C791" s="8"/>
    </row>
    <row r="792">
      <c r="B792" s="16"/>
      <c r="C792" s="8"/>
    </row>
    <row r="793">
      <c r="B793" s="16"/>
      <c r="C793" s="8"/>
    </row>
    <row r="794">
      <c r="B794" s="16"/>
      <c r="C794" s="8"/>
    </row>
    <row r="795">
      <c r="B795" s="16"/>
      <c r="C795" s="8"/>
    </row>
    <row r="796">
      <c r="B796" s="16"/>
      <c r="C796" s="8"/>
    </row>
    <row r="797">
      <c r="B797" s="16"/>
      <c r="C797" s="8"/>
    </row>
    <row r="798">
      <c r="B798" s="16"/>
      <c r="C798" s="8"/>
    </row>
    <row r="799">
      <c r="B799" s="16"/>
      <c r="C799" s="8"/>
    </row>
    <row r="800">
      <c r="B800" s="16"/>
      <c r="C800" s="8"/>
    </row>
    <row r="801">
      <c r="B801" s="16"/>
      <c r="C801" s="8"/>
    </row>
    <row r="802">
      <c r="B802" s="16"/>
      <c r="C802" s="8"/>
    </row>
    <row r="803">
      <c r="B803" s="16"/>
      <c r="C803" s="8"/>
    </row>
    <row r="804">
      <c r="B804" s="16"/>
      <c r="C804" s="8"/>
    </row>
    <row r="805">
      <c r="B805" s="16"/>
      <c r="C805" s="8"/>
    </row>
    <row r="806">
      <c r="B806" s="16"/>
      <c r="C806" s="8"/>
    </row>
    <row r="807">
      <c r="B807" s="16"/>
      <c r="C807" s="8"/>
    </row>
    <row r="808">
      <c r="B808" s="16"/>
      <c r="C808" s="8"/>
    </row>
    <row r="809">
      <c r="B809" s="16"/>
      <c r="C809" s="8"/>
    </row>
    <row r="810">
      <c r="B810" s="16"/>
      <c r="C810" s="8"/>
    </row>
    <row r="811">
      <c r="B811" s="16"/>
      <c r="C811" s="8"/>
    </row>
    <row r="812">
      <c r="B812" s="16"/>
      <c r="C812" s="8"/>
    </row>
    <row r="813">
      <c r="B813" s="16"/>
      <c r="C813" s="8"/>
    </row>
    <row r="814">
      <c r="B814" s="16"/>
      <c r="C814" s="8"/>
    </row>
    <row r="815">
      <c r="B815" s="16"/>
      <c r="C815" s="8"/>
    </row>
    <row r="816">
      <c r="B816" s="16"/>
      <c r="C816" s="8"/>
    </row>
    <row r="817">
      <c r="B817" s="16"/>
      <c r="C817" s="8"/>
    </row>
    <row r="818">
      <c r="B818" s="16"/>
      <c r="C818" s="8"/>
    </row>
    <row r="819">
      <c r="B819" s="16"/>
      <c r="C819" s="8"/>
    </row>
    <row r="820">
      <c r="B820" s="16"/>
      <c r="C820" s="8"/>
    </row>
    <row r="821">
      <c r="B821" s="16"/>
      <c r="C821" s="8"/>
    </row>
    <row r="822">
      <c r="B822" s="16"/>
      <c r="C822" s="8"/>
    </row>
    <row r="823">
      <c r="B823" s="16"/>
      <c r="C823" s="8"/>
    </row>
    <row r="824">
      <c r="B824" s="16"/>
      <c r="C824" s="8"/>
    </row>
    <row r="825">
      <c r="B825" s="16"/>
      <c r="C825" s="8"/>
    </row>
    <row r="826">
      <c r="B826" s="16"/>
      <c r="C826" s="8"/>
    </row>
    <row r="827">
      <c r="B827" s="16"/>
      <c r="C827" s="8"/>
    </row>
    <row r="828">
      <c r="B828" s="16"/>
      <c r="C828" s="8"/>
    </row>
    <row r="829">
      <c r="B829" s="16"/>
      <c r="C829" s="8"/>
    </row>
    <row r="830">
      <c r="B830" s="16"/>
      <c r="C830" s="8"/>
    </row>
    <row r="831">
      <c r="B831" s="16"/>
      <c r="C831" s="8"/>
    </row>
    <row r="832">
      <c r="B832" s="16"/>
      <c r="C832" s="8"/>
    </row>
    <row r="833">
      <c r="B833" s="16"/>
      <c r="C833" s="8"/>
    </row>
    <row r="834">
      <c r="B834" s="16"/>
      <c r="C834" s="8"/>
    </row>
    <row r="835">
      <c r="B835" s="16"/>
      <c r="C835" s="8"/>
    </row>
    <row r="836">
      <c r="B836" s="16"/>
      <c r="C836" s="8"/>
    </row>
    <row r="837">
      <c r="B837" s="16"/>
      <c r="C837" s="8"/>
    </row>
    <row r="838">
      <c r="B838" s="16"/>
      <c r="C838" s="8"/>
    </row>
    <row r="839">
      <c r="B839" s="16"/>
      <c r="C839" s="8"/>
    </row>
    <row r="840">
      <c r="B840" s="16"/>
      <c r="C840" s="8"/>
    </row>
    <row r="841">
      <c r="B841" s="16"/>
      <c r="C841" s="8"/>
    </row>
    <row r="842">
      <c r="B842" s="16"/>
      <c r="C842" s="8"/>
    </row>
    <row r="843">
      <c r="B843" s="16"/>
      <c r="C843" s="8"/>
    </row>
    <row r="844">
      <c r="B844" s="16"/>
      <c r="C844" s="8"/>
    </row>
    <row r="845">
      <c r="B845" s="16"/>
      <c r="C845" s="8"/>
    </row>
    <row r="846">
      <c r="B846" s="16"/>
      <c r="C846" s="8"/>
    </row>
    <row r="847">
      <c r="B847" s="16"/>
      <c r="C847" s="8"/>
    </row>
    <row r="848">
      <c r="B848" s="16"/>
      <c r="C848" s="8"/>
    </row>
    <row r="849">
      <c r="B849" s="16"/>
      <c r="C849" s="8"/>
    </row>
    <row r="850">
      <c r="B850" s="16"/>
      <c r="C850" s="8"/>
    </row>
    <row r="851">
      <c r="B851" s="16"/>
      <c r="C851" s="8"/>
    </row>
    <row r="852">
      <c r="B852" s="16"/>
      <c r="C852" s="8"/>
    </row>
    <row r="853">
      <c r="B853" s="16"/>
      <c r="C853" s="8"/>
    </row>
    <row r="854">
      <c r="B854" s="16"/>
      <c r="C854" s="8"/>
    </row>
    <row r="855">
      <c r="B855" s="16"/>
      <c r="C855" s="8"/>
    </row>
    <row r="856">
      <c r="B856" s="16"/>
      <c r="C856" s="8"/>
    </row>
    <row r="857">
      <c r="B857" s="16"/>
      <c r="C857" s="8"/>
    </row>
    <row r="858">
      <c r="B858" s="16"/>
      <c r="C858" s="8"/>
    </row>
    <row r="859">
      <c r="B859" s="16"/>
      <c r="C859" s="8"/>
    </row>
    <row r="860">
      <c r="B860" s="16"/>
      <c r="C860" s="8"/>
    </row>
    <row r="861">
      <c r="B861" s="16"/>
      <c r="C861" s="8"/>
    </row>
    <row r="862">
      <c r="B862" s="16"/>
      <c r="C862" s="8"/>
    </row>
    <row r="863">
      <c r="B863" s="16"/>
      <c r="C863" s="8"/>
    </row>
    <row r="864">
      <c r="B864" s="16"/>
      <c r="C864" s="8"/>
    </row>
    <row r="865">
      <c r="B865" s="16"/>
      <c r="C865" s="8"/>
    </row>
    <row r="866">
      <c r="B866" s="16"/>
      <c r="C866" s="8"/>
    </row>
    <row r="867">
      <c r="B867" s="16"/>
      <c r="C867" s="8"/>
    </row>
    <row r="868">
      <c r="B868" s="16"/>
      <c r="C868" s="8"/>
    </row>
    <row r="869">
      <c r="B869" s="16"/>
      <c r="C869" s="8"/>
    </row>
    <row r="870">
      <c r="B870" s="16"/>
      <c r="C870" s="8"/>
    </row>
    <row r="871">
      <c r="B871" s="16"/>
      <c r="C871" s="8"/>
    </row>
    <row r="872">
      <c r="B872" s="16"/>
      <c r="C872" s="8"/>
    </row>
    <row r="873">
      <c r="B873" s="16"/>
      <c r="C873" s="8"/>
    </row>
    <row r="874">
      <c r="B874" s="16"/>
      <c r="C874" s="8"/>
    </row>
    <row r="875">
      <c r="B875" s="16"/>
      <c r="C875" s="8"/>
    </row>
    <row r="876">
      <c r="B876" s="16"/>
      <c r="C876" s="8"/>
    </row>
    <row r="877">
      <c r="B877" s="16"/>
      <c r="C877" s="8"/>
    </row>
    <row r="878">
      <c r="B878" s="16"/>
      <c r="C878" s="8"/>
    </row>
    <row r="879">
      <c r="B879" s="16"/>
      <c r="C879" s="8"/>
    </row>
    <row r="880">
      <c r="B880" s="16"/>
      <c r="C880" s="8"/>
    </row>
    <row r="881">
      <c r="B881" s="16"/>
      <c r="C881" s="8"/>
    </row>
    <row r="882">
      <c r="B882" s="16"/>
      <c r="C882" s="8"/>
    </row>
    <row r="883">
      <c r="B883" s="16"/>
      <c r="C883" s="8"/>
    </row>
    <row r="884">
      <c r="B884" s="16"/>
      <c r="C884" s="8"/>
    </row>
    <row r="885">
      <c r="B885" s="16"/>
      <c r="C885" s="8"/>
    </row>
    <row r="886">
      <c r="B886" s="16"/>
      <c r="C886" s="8"/>
    </row>
    <row r="887">
      <c r="B887" s="16"/>
      <c r="C887" s="8"/>
    </row>
    <row r="888">
      <c r="B888" s="16"/>
      <c r="C888" s="8"/>
    </row>
    <row r="889">
      <c r="B889" s="16"/>
      <c r="C889" s="8"/>
    </row>
    <row r="890">
      <c r="B890" s="16"/>
      <c r="C890" s="8"/>
    </row>
    <row r="891">
      <c r="B891" s="16"/>
      <c r="C891" s="8"/>
    </row>
    <row r="892">
      <c r="B892" s="16"/>
      <c r="C892" s="8"/>
    </row>
    <row r="893">
      <c r="B893" s="16"/>
      <c r="C893" s="8"/>
    </row>
    <row r="894">
      <c r="B894" s="16"/>
      <c r="C894" s="8"/>
    </row>
    <row r="895">
      <c r="B895" s="16"/>
      <c r="C895" s="8"/>
    </row>
    <row r="896">
      <c r="B896" s="16"/>
      <c r="C896" s="8"/>
    </row>
    <row r="897">
      <c r="B897" s="16"/>
      <c r="C897" s="8"/>
    </row>
    <row r="898">
      <c r="B898" s="16"/>
      <c r="C898" s="8"/>
    </row>
    <row r="899">
      <c r="B899" s="16"/>
      <c r="C899" s="8"/>
    </row>
    <row r="900">
      <c r="B900" s="16"/>
      <c r="C900" s="8"/>
    </row>
    <row r="901">
      <c r="B901" s="16"/>
      <c r="C901" s="8"/>
    </row>
    <row r="902">
      <c r="B902" s="16"/>
      <c r="C902" s="8"/>
    </row>
    <row r="903">
      <c r="B903" s="16"/>
      <c r="C903" s="8"/>
    </row>
    <row r="904">
      <c r="B904" s="16"/>
      <c r="C904" s="8"/>
    </row>
    <row r="905">
      <c r="B905" s="16"/>
      <c r="C905" s="8"/>
    </row>
    <row r="906">
      <c r="B906" s="16"/>
      <c r="C906" s="8"/>
    </row>
    <row r="907">
      <c r="B907" s="16"/>
      <c r="C907" s="8"/>
    </row>
    <row r="908">
      <c r="B908" s="16"/>
      <c r="C908" s="8"/>
    </row>
    <row r="909">
      <c r="B909" s="16"/>
      <c r="C909" s="8"/>
    </row>
    <row r="910">
      <c r="B910" s="16"/>
      <c r="C910" s="8"/>
    </row>
    <row r="911">
      <c r="B911" s="16"/>
      <c r="C911" s="8"/>
    </row>
    <row r="912">
      <c r="B912" s="16"/>
      <c r="C912" s="8"/>
    </row>
    <row r="913">
      <c r="B913" s="16"/>
      <c r="C913" s="8"/>
    </row>
    <row r="914">
      <c r="B914" s="16"/>
      <c r="C914" s="8"/>
    </row>
    <row r="915">
      <c r="B915" s="16"/>
      <c r="C915" s="8"/>
    </row>
    <row r="916">
      <c r="B916" s="16"/>
      <c r="C916" s="8"/>
    </row>
    <row r="917">
      <c r="B917" s="16"/>
      <c r="C917" s="8"/>
    </row>
    <row r="918">
      <c r="B918" s="16"/>
      <c r="C918" s="8"/>
    </row>
    <row r="919">
      <c r="B919" s="16"/>
      <c r="C919" s="8"/>
    </row>
    <row r="920">
      <c r="B920" s="16"/>
      <c r="C920" s="8"/>
    </row>
    <row r="921">
      <c r="B921" s="16"/>
      <c r="C921" s="8"/>
    </row>
    <row r="922">
      <c r="B922" s="16"/>
      <c r="C922" s="8"/>
    </row>
    <row r="923">
      <c r="B923" s="16"/>
      <c r="C923" s="8"/>
    </row>
    <row r="924">
      <c r="B924" s="16"/>
      <c r="C924" s="8"/>
    </row>
    <row r="925">
      <c r="B925" s="16"/>
      <c r="C925" s="8"/>
    </row>
    <row r="926">
      <c r="B926" s="16"/>
      <c r="C926" s="8"/>
    </row>
    <row r="927">
      <c r="B927" s="16"/>
      <c r="C927" s="8"/>
    </row>
    <row r="928">
      <c r="B928" s="16"/>
      <c r="C928" s="8"/>
    </row>
    <row r="929">
      <c r="B929" s="16"/>
      <c r="C929" s="8"/>
    </row>
    <row r="930">
      <c r="B930" s="16"/>
      <c r="C930" s="8"/>
    </row>
    <row r="931">
      <c r="B931" s="16"/>
      <c r="C931" s="8"/>
    </row>
    <row r="932">
      <c r="B932" s="16"/>
      <c r="C932" s="8"/>
    </row>
    <row r="933">
      <c r="B933" s="16"/>
      <c r="C933" s="8"/>
    </row>
    <row r="934">
      <c r="B934" s="16"/>
      <c r="C934" s="8"/>
    </row>
    <row r="935">
      <c r="B935" s="16"/>
      <c r="C935" s="8"/>
    </row>
    <row r="936">
      <c r="B936" s="16"/>
      <c r="C936" s="8"/>
    </row>
    <row r="937">
      <c r="B937" s="16"/>
      <c r="C937" s="8"/>
    </row>
    <row r="938">
      <c r="B938" s="16"/>
      <c r="C938" s="8"/>
    </row>
    <row r="939">
      <c r="B939" s="16"/>
      <c r="C939" s="8"/>
    </row>
    <row r="940">
      <c r="B940" s="16"/>
      <c r="C940" s="8"/>
    </row>
    <row r="941">
      <c r="B941" s="16"/>
      <c r="C941" s="8"/>
    </row>
    <row r="942">
      <c r="B942" s="16"/>
      <c r="C942" s="8"/>
    </row>
    <row r="943">
      <c r="B943" s="16"/>
      <c r="C943" s="8"/>
    </row>
    <row r="944">
      <c r="B944" s="16"/>
      <c r="C944" s="8"/>
    </row>
    <row r="945">
      <c r="B945" s="16"/>
      <c r="C945" s="8"/>
    </row>
    <row r="946">
      <c r="B946" s="16"/>
      <c r="C946" s="8"/>
    </row>
    <row r="947">
      <c r="B947" s="16"/>
      <c r="C947" s="8"/>
    </row>
    <row r="948">
      <c r="B948" s="16"/>
      <c r="C948" s="8"/>
    </row>
    <row r="949">
      <c r="B949" s="16"/>
      <c r="C949" s="8"/>
    </row>
    <row r="950">
      <c r="B950" s="16"/>
      <c r="C950" s="8"/>
    </row>
    <row r="951">
      <c r="B951" s="16"/>
      <c r="C951" s="8"/>
    </row>
    <row r="952">
      <c r="B952" s="16"/>
      <c r="C952" s="8"/>
    </row>
    <row r="953">
      <c r="B953" s="16"/>
      <c r="C953" s="8"/>
    </row>
    <row r="954">
      <c r="B954" s="16"/>
      <c r="C954" s="8"/>
    </row>
    <row r="955">
      <c r="B955" s="16"/>
      <c r="C955" s="8"/>
    </row>
    <row r="956">
      <c r="B956" s="16"/>
      <c r="C956" s="8"/>
    </row>
    <row r="957">
      <c r="B957" s="16"/>
      <c r="C957" s="8"/>
    </row>
    <row r="958">
      <c r="B958" s="16"/>
      <c r="C958" s="8"/>
    </row>
    <row r="959">
      <c r="B959" s="16"/>
      <c r="C959" s="8"/>
    </row>
    <row r="960">
      <c r="B960" s="16"/>
      <c r="C960" s="8"/>
    </row>
    <row r="961">
      <c r="B961" s="16"/>
      <c r="C961" s="8"/>
    </row>
    <row r="962">
      <c r="B962" s="16"/>
      <c r="C962" s="8"/>
    </row>
    <row r="963">
      <c r="B963" s="16"/>
      <c r="C963" s="8"/>
    </row>
    <row r="964">
      <c r="B964" s="16"/>
      <c r="C964" s="8"/>
    </row>
    <row r="965">
      <c r="B965" s="16"/>
      <c r="C965" s="8"/>
    </row>
    <row r="966">
      <c r="B966" s="16"/>
      <c r="C966" s="8"/>
    </row>
    <row r="967">
      <c r="B967" s="16"/>
      <c r="C967" s="8"/>
    </row>
    <row r="968">
      <c r="B968" s="16"/>
      <c r="C968" s="8"/>
    </row>
    <row r="969">
      <c r="B969" s="16"/>
      <c r="C969" s="8"/>
    </row>
    <row r="970">
      <c r="B970" s="16"/>
      <c r="C970" s="8"/>
    </row>
    <row r="971">
      <c r="B971" s="16"/>
      <c r="C971" s="8"/>
    </row>
    <row r="972">
      <c r="B972" s="16"/>
      <c r="C972" s="8"/>
    </row>
    <row r="973">
      <c r="B973" s="16"/>
      <c r="C973" s="8"/>
    </row>
    <row r="974">
      <c r="B974" s="16"/>
      <c r="C974" s="8"/>
    </row>
    <row r="975">
      <c r="B975" s="16"/>
      <c r="C975" s="8"/>
    </row>
    <row r="976">
      <c r="B976" s="16"/>
      <c r="C976" s="8"/>
    </row>
    <row r="977">
      <c r="B977" s="16"/>
      <c r="C977" s="8"/>
    </row>
    <row r="978">
      <c r="B978" s="16"/>
      <c r="C978" s="8"/>
    </row>
    <row r="979">
      <c r="B979" s="16"/>
      <c r="C979" s="8"/>
    </row>
    <row r="980">
      <c r="B980" s="16"/>
      <c r="C980" s="8"/>
    </row>
    <row r="981">
      <c r="B981" s="16"/>
      <c r="C981" s="8"/>
    </row>
    <row r="982">
      <c r="B982" s="16"/>
      <c r="C982" s="8"/>
    </row>
    <row r="983">
      <c r="B983" s="16"/>
      <c r="C983" s="8"/>
    </row>
    <row r="984">
      <c r="B984" s="16"/>
      <c r="C984" s="8"/>
    </row>
    <row r="985">
      <c r="B985" s="16"/>
      <c r="C985" s="8"/>
    </row>
    <row r="986">
      <c r="B986" s="16"/>
      <c r="C986" s="8"/>
    </row>
    <row r="987">
      <c r="B987" s="16"/>
      <c r="C987" s="8"/>
    </row>
    <row r="988">
      <c r="B988" s="16"/>
      <c r="C988" s="8"/>
    </row>
    <row r="989">
      <c r="B989" s="16"/>
      <c r="C989" s="8"/>
    </row>
    <row r="990">
      <c r="B990" s="16"/>
      <c r="C990" s="8"/>
    </row>
    <row r="991">
      <c r="B991" s="16"/>
      <c r="C991" s="8"/>
    </row>
    <row r="992">
      <c r="B992" s="16"/>
      <c r="C992" s="8"/>
    </row>
    <row r="993">
      <c r="B993" s="16"/>
      <c r="C993" s="8"/>
    </row>
    <row r="994">
      <c r="B994" s="16"/>
      <c r="C994" s="8"/>
    </row>
    <row r="995">
      <c r="B995" s="16"/>
      <c r="C995" s="8"/>
    </row>
    <row r="996">
      <c r="B996" s="16"/>
      <c r="C996" s="8"/>
    </row>
    <row r="997">
      <c r="B997" s="16"/>
      <c r="C997" s="8"/>
    </row>
    <row r="998">
      <c r="B998" s="16"/>
      <c r="C998" s="8"/>
    </row>
    <row r="999">
      <c r="B999" s="16"/>
      <c r="C999" s="8"/>
    </row>
    <row r="1000">
      <c r="B1000" s="16"/>
      <c r="C1000" s="8"/>
    </row>
    <row r="1001">
      <c r="B1001" s="16"/>
      <c r="C100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27</v>
      </c>
      <c r="C1" s="8"/>
      <c r="D1" s="17"/>
      <c r="E1" s="1">
        <v>2014.0</v>
      </c>
      <c r="F1" s="1">
        <v>2015.0</v>
      </c>
      <c r="G1" s="1">
        <v>2016.0</v>
      </c>
      <c r="H1" s="1">
        <v>2017.0</v>
      </c>
      <c r="I1" s="1">
        <v>2018.0</v>
      </c>
      <c r="J1" s="1">
        <v>2019.0</v>
      </c>
      <c r="K1" s="1">
        <v>2020.0</v>
      </c>
      <c r="L1" s="1">
        <v>2021.0</v>
      </c>
      <c r="M1" s="1">
        <v>2022.0</v>
      </c>
      <c r="N1" s="1">
        <v>2023.0</v>
      </c>
      <c r="O1" s="1">
        <v>2024.0</v>
      </c>
    </row>
    <row r="2">
      <c r="A2" s="2">
        <v>41640.0</v>
      </c>
      <c r="B2" s="18">
        <f>IFERROR(__xludf.DUMMYFUNCTION("FLATTEN({E14:E17; F14:F17; G14:G17; H14:H17; I14:I17; J14:J17; K14:K17; L14:L17; M14:M17; N14:N17; O14:O17})
"),0.5373333333333333)</f>
        <v>0.5373333333</v>
      </c>
      <c r="C2" s="19"/>
      <c r="D2" s="15" t="s">
        <v>9</v>
      </c>
      <c r="E2" s="20">
        <v>0.549</v>
      </c>
      <c r="F2" s="20">
        <v>0.794</v>
      </c>
      <c r="G2" s="20">
        <v>0.794</v>
      </c>
      <c r="H2" s="20">
        <v>0.738</v>
      </c>
      <c r="I2" s="20">
        <v>0.798</v>
      </c>
      <c r="J2" s="20">
        <v>1.403</v>
      </c>
      <c r="K2" s="20">
        <v>0.317</v>
      </c>
      <c r="L2" s="20">
        <v>0.198</v>
      </c>
      <c r="M2" s="20">
        <v>0.404</v>
      </c>
      <c r="N2" s="20">
        <v>1.187</v>
      </c>
      <c r="O2" s="20">
        <v>1.671</v>
      </c>
    </row>
    <row r="3">
      <c r="A3" s="2">
        <v>41730.0</v>
      </c>
      <c r="B3" s="18">
        <f>IFERROR(__xludf.DUMMYFUNCTION("""COMPUTED_VALUE"""),0.6276666666666667)</f>
        <v>0.6276666667</v>
      </c>
      <c r="C3" s="8"/>
      <c r="D3" s="17" t="s">
        <v>10</v>
      </c>
      <c r="E3" s="20">
        <v>0.501</v>
      </c>
      <c r="F3" s="20">
        <v>0.703</v>
      </c>
      <c r="G3" s="20">
        <v>0.703</v>
      </c>
      <c r="H3" s="20">
        <v>0.635</v>
      </c>
      <c r="I3" s="20">
        <v>0.67</v>
      </c>
      <c r="J3" s="20">
        <v>1.239</v>
      </c>
      <c r="K3" s="20">
        <v>0.323</v>
      </c>
      <c r="L3" s="20">
        <v>0.211</v>
      </c>
      <c r="M3" s="20">
        <v>0.355</v>
      </c>
      <c r="N3" s="20">
        <v>1.24</v>
      </c>
      <c r="O3" s="20">
        <v>1.649</v>
      </c>
    </row>
    <row r="4">
      <c r="A4" s="2">
        <v>41821.0</v>
      </c>
      <c r="B4" s="18">
        <f>IFERROR(__xludf.DUMMYFUNCTION("""COMPUTED_VALUE"""),0.6463333333333333)</f>
        <v>0.6463333333</v>
      </c>
      <c r="C4" s="19"/>
      <c r="D4" s="15" t="s">
        <v>11</v>
      </c>
      <c r="E4" s="20">
        <v>0.562</v>
      </c>
      <c r="F4" s="20">
        <v>0.655</v>
      </c>
      <c r="G4" s="20">
        <v>0.655</v>
      </c>
      <c r="H4" s="20">
        <v>0.693</v>
      </c>
      <c r="I4" s="20">
        <v>0.758</v>
      </c>
      <c r="J4" s="20">
        <v>1.409</v>
      </c>
      <c r="K4" s="20">
        <v>0.435</v>
      </c>
      <c r="L4" s="20">
        <v>0.213</v>
      </c>
      <c r="M4" s="20">
        <v>0.401</v>
      </c>
      <c r="N4" s="20">
        <v>1.444</v>
      </c>
      <c r="O4" s="20">
        <v>1.733</v>
      </c>
    </row>
    <row r="5">
      <c r="A5" s="2">
        <v>41913.0</v>
      </c>
      <c r="B5" s="18">
        <f>IFERROR(__xludf.DUMMYFUNCTION("""COMPUTED_VALUE"""),0.7026666666666667)</f>
        <v>0.7026666667</v>
      </c>
      <c r="C5" s="19"/>
      <c r="D5" s="17" t="s">
        <v>12</v>
      </c>
      <c r="E5" s="20">
        <v>0.632</v>
      </c>
      <c r="F5" s="20">
        <v>0.682</v>
      </c>
      <c r="G5" s="20">
        <v>0.682</v>
      </c>
      <c r="H5" s="20">
        <v>0.67</v>
      </c>
      <c r="I5" s="20">
        <v>0.747</v>
      </c>
      <c r="J5" s="20">
        <v>1.326</v>
      </c>
      <c r="K5" s="20">
        <v>0.395</v>
      </c>
      <c r="L5" s="20">
        <v>0.239</v>
      </c>
      <c r="M5" s="20">
        <v>0.382</v>
      </c>
      <c r="N5" s="20">
        <v>1.481</v>
      </c>
      <c r="O5" s="20">
        <v>1.673</v>
      </c>
    </row>
    <row r="6">
      <c r="A6" s="2">
        <v>42005.0</v>
      </c>
      <c r="B6" s="18">
        <f>IFERROR(__xludf.DUMMYFUNCTION("""COMPUTED_VALUE"""),0.7173333333333334)</f>
        <v>0.7173333333</v>
      </c>
      <c r="C6" s="19"/>
      <c r="D6" s="15" t="s">
        <v>13</v>
      </c>
      <c r="E6" s="20">
        <v>0.626</v>
      </c>
      <c r="F6" s="20">
        <v>0.678</v>
      </c>
      <c r="G6" s="20">
        <v>0.678</v>
      </c>
      <c r="H6" s="20">
        <v>0.679</v>
      </c>
      <c r="I6" s="20">
        <v>0.811</v>
      </c>
      <c r="J6" s="20">
        <v>1.358</v>
      </c>
      <c r="K6" s="20">
        <v>0.415</v>
      </c>
      <c r="L6" s="20">
        <v>0.26</v>
      </c>
      <c r="M6" s="20">
        <v>0.403</v>
      </c>
      <c r="N6" s="20">
        <v>1.6</v>
      </c>
      <c r="O6" s="20">
        <v>1.989</v>
      </c>
    </row>
    <row r="7">
      <c r="A7" s="2">
        <v>42095.0</v>
      </c>
      <c r="B7" s="18">
        <f>IFERROR(__xludf.DUMMYFUNCTION("""COMPUTED_VALUE"""),0.672)</f>
        <v>0.672</v>
      </c>
      <c r="C7" s="8"/>
      <c r="D7" s="17" t="s">
        <v>14</v>
      </c>
      <c r="E7" s="20">
        <v>0.625</v>
      </c>
      <c r="F7" s="20">
        <v>0.656</v>
      </c>
      <c r="G7" s="20">
        <v>0.656</v>
      </c>
      <c r="H7" s="20">
        <v>0.647</v>
      </c>
      <c r="I7" s="20">
        <v>0.795</v>
      </c>
      <c r="J7" s="20">
        <v>1.244</v>
      </c>
      <c r="K7" s="20">
        <v>0.35</v>
      </c>
      <c r="L7" s="20">
        <v>0.151</v>
      </c>
      <c r="M7" s="20">
        <v>0.43</v>
      </c>
      <c r="N7" s="20">
        <v>1.561</v>
      </c>
      <c r="O7" s="20">
        <v>1.757</v>
      </c>
    </row>
    <row r="8">
      <c r="A8" s="2">
        <v>42186.0</v>
      </c>
      <c r="B8" s="18">
        <f>IFERROR(__xludf.DUMMYFUNCTION("""COMPUTED_VALUE"""),0.7213333333333334)</f>
        <v>0.7213333333</v>
      </c>
      <c r="C8" s="19"/>
      <c r="D8" s="15" t="s">
        <v>15</v>
      </c>
      <c r="E8" s="20">
        <v>0.67</v>
      </c>
      <c r="F8" s="20">
        <v>0.741</v>
      </c>
      <c r="G8" s="20">
        <v>0.741</v>
      </c>
      <c r="H8" s="20">
        <v>0.707</v>
      </c>
      <c r="I8" s="20">
        <v>0.877</v>
      </c>
      <c r="J8" s="20">
        <v>1.365</v>
      </c>
      <c r="K8" s="20">
        <v>0.373</v>
      </c>
      <c r="L8" s="20">
        <v>0.234</v>
      </c>
      <c r="M8" s="20">
        <v>0.506</v>
      </c>
      <c r="N8" s="20">
        <v>1.754</v>
      </c>
      <c r="O8" s="20">
        <v>1.995</v>
      </c>
    </row>
    <row r="9">
      <c r="A9" s="2">
        <v>42278.0</v>
      </c>
      <c r="B9" s="18">
        <f>IFERROR(__xludf.DUMMYFUNCTION("""COMPUTED_VALUE"""),0.7273333333333333)</f>
        <v>0.7273333333</v>
      </c>
      <c r="C9" s="8"/>
      <c r="D9" s="17" t="s">
        <v>16</v>
      </c>
      <c r="E9" s="20">
        <v>0.645</v>
      </c>
      <c r="F9" s="20">
        <v>0.738</v>
      </c>
      <c r="G9" s="20">
        <v>0.738</v>
      </c>
      <c r="H9" s="20">
        <v>0.713</v>
      </c>
      <c r="I9" s="20">
        <v>0.896</v>
      </c>
      <c r="J9" s="20">
        <v>1.341</v>
      </c>
      <c r="K9" s="20">
        <v>0.364</v>
      </c>
      <c r="L9" s="20">
        <v>0.23</v>
      </c>
      <c r="M9" s="20">
        <v>0.586</v>
      </c>
      <c r="N9" s="20">
        <v>1.83</v>
      </c>
      <c r="O9" s="20">
        <v>2.008</v>
      </c>
    </row>
    <row r="10">
      <c r="A10" s="2">
        <v>42370.0</v>
      </c>
      <c r="B10" s="18">
        <f>IFERROR(__xludf.DUMMYFUNCTION("""COMPUTED_VALUE"""),0.7173333333333334)</f>
        <v>0.7173333333</v>
      </c>
      <c r="C10" s="19"/>
      <c r="D10" s="15" t="s">
        <v>17</v>
      </c>
      <c r="E10" s="20">
        <v>0.624</v>
      </c>
      <c r="F10" s="20">
        <v>0.685</v>
      </c>
      <c r="G10" s="20">
        <v>0.685</v>
      </c>
      <c r="H10" s="20">
        <v>0.674</v>
      </c>
      <c r="I10" s="20">
        <v>0.983</v>
      </c>
      <c r="J10" s="20">
        <v>1.13</v>
      </c>
      <c r="K10" s="20">
        <v>0.427</v>
      </c>
      <c r="L10" s="20">
        <v>0.434</v>
      </c>
      <c r="M10" s="20">
        <v>0.748</v>
      </c>
      <c r="N10" s="20">
        <v>1.657</v>
      </c>
      <c r="O10" s="20">
        <v>1.896</v>
      </c>
    </row>
    <row r="11">
      <c r="A11" s="2">
        <v>42461.0</v>
      </c>
      <c r="B11" s="18">
        <f>IFERROR(__xludf.DUMMYFUNCTION("""COMPUTED_VALUE"""),0.672)</f>
        <v>0.672</v>
      </c>
      <c r="C11" s="8"/>
      <c r="D11" s="17" t="s">
        <v>18</v>
      </c>
      <c r="E11" s="20">
        <v>0.675</v>
      </c>
      <c r="F11" s="20">
        <v>0.737</v>
      </c>
      <c r="G11" s="20">
        <v>0.737</v>
      </c>
      <c r="H11" s="20">
        <v>0.704</v>
      </c>
      <c r="I11" s="20">
        <v>1.081</v>
      </c>
      <c r="J11" s="20">
        <v>0.994</v>
      </c>
      <c r="K11" s="20">
        <v>0.338</v>
      </c>
      <c r="L11" s="20">
        <v>0.444</v>
      </c>
      <c r="M11" s="20">
        <v>0.901</v>
      </c>
      <c r="N11" s="20">
        <v>1.887</v>
      </c>
      <c r="O11" s="20">
        <v>1.947</v>
      </c>
    </row>
    <row r="12">
      <c r="A12" s="2">
        <v>42552.0</v>
      </c>
      <c r="B12" s="18">
        <f>IFERROR(__xludf.DUMMYFUNCTION("""COMPUTED_VALUE"""),0.7213333333333334)</f>
        <v>0.7213333333</v>
      </c>
      <c r="C12" s="19"/>
      <c r="D12" s="15" t="s">
        <v>19</v>
      </c>
      <c r="E12" s="20">
        <v>0.683</v>
      </c>
      <c r="F12" s="20">
        <v>0.707</v>
      </c>
      <c r="G12" s="20">
        <v>0.707</v>
      </c>
      <c r="H12" s="20">
        <v>0.651</v>
      </c>
      <c r="I12" s="20">
        <v>1.126</v>
      </c>
      <c r="J12" s="20">
        <v>0.999</v>
      </c>
      <c r="K12" s="20">
        <v>0.314</v>
      </c>
      <c r="L12" s="20">
        <v>0.434</v>
      </c>
      <c r="M12" s="20">
        <v>1.042</v>
      </c>
      <c r="N12" s="20">
        <v>1.645</v>
      </c>
      <c r="O12" s="20">
        <v>1.899</v>
      </c>
    </row>
    <row r="13">
      <c r="A13" s="2">
        <v>42644.0</v>
      </c>
      <c r="B13" s="18">
        <f>IFERROR(__xludf.DUMMYFUNCTION("""COMPUTED_VALUE"""),0.7273333333333333)</f>
        <v>0.7273333333</v>
      </c>
      <c r="C13" s="8"/>
      <c r="D13" s="17" t="s">
        <v>20</v>
      </c>
      <c r="E13" s="20">
        <v>0.75</v>
      </c>
      <c r="F13" s="20">
        <v>0.738</v>
      </c>
      <c r="G13" s="20">
        <v>0.738</v>
      </c>
      <c r="H13" s="20">
        <v>0.709</v>
      </c>
      <c r="I13" s="20">
        <v>1.196</v>
      </c>
      <c r="J13" s="20">
        <v>0.974</v>
      </c>
      <c r="K13" s="20">
        <v>0.279</v>
      </c>
      <c r="L13" s="20">
        <v>0.446</v>
      </c>
      <c r="M13" s="20">
        <v>1.199</v>
      </c>
      <c r="N13" s="20">
        <v>1.719</v>
      </c>
      <c r="O13" s="20">
        <v>1.801</v>
      </c>
    </row>
    <row r="14">
      <c r="A14" s="2">
        <v>42736.0</v>
      </c>
      <c r="B14" s="18">
        <f>IFERROR(__xludf.DUMMYFUNCTION("""COMPUTED_VALUE"""),0.6886666666666666)</f>
        <v>0.6886666667</v>
      </c>
      <c r="C14" s="10"/>
      <c r="D14" s="21" t="s">
        <v>22</v>
      </c>
      <c r="E14" s="22">
        <f t="shared" ref="E14:O14" si="1">AVERAGE(E2:E4)</f>
        <v>0.5373333333</v>
      </c>
      <c r="F14" s="22">
        <f t="shared" si="1"/>
        <v>0.7173333333</v>
      </c>
      <c r="G14" s="22">
        <f t="shared" si="1"/>
        <v>0.7173333333</v>
      </c>
      <c r="H14" s="22">
        <f t="shared" si="1"/>
        <v>0.6886666667</v>
      </c>
      <c r="I14" s="22">
        <f t="shared" si="1"/>
        <v>0.742</v>
      </c>
      <c r="J14" s="22">
        <f t="shared" si="1"/>
        <v>1.350333333</v>
      </c>
      <c r="K14" s="22">
        <f t="shared" si="1"/>
        <v>0.3583333333</v>
      </c>
      <c r="L14" s="22">
        <f t="shared" si="1"/>
        <v>0.2073333333</v>
      </c>
      <c r="M14" s="22">
        <f t="shared" si="1"/>
        <v>0.3866666667</v>
      </c>
      <c r="N14" s="22">
        <f t="shared" si="1"/>
        <v>1.290333333</v>
      </c>
      <c r="O14" s="22">
        <f t="shared" si="1"/>
        <v>1.684333333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">
        <v>42826.0</v>
      </c>
      <c r="B15" s="18">
        <f>IFERROR(__xludf.DUMMYFUNCTION("""COMPUTED_VALUE"""),0.6653333333333334)</f>
        <v>0.6653333333</v>
      </c>
      <c r="C15" s="14"/>
      <c r="D15" s="1" t="s">
        <v>23</v>
      </c>
      <c r="E15" s="23">
        <f t="shared" ref="E15:O15" si="2">AVERAGE(E5:E7)</f>
        <v>0.6276666667</v>
      </c>
      <c r="F15" s="23">
        <f t="shared" si="2"/>
        <v>0.672</v>
      </c>
      <c r="G15" s="23">
        <f t="shared" si="2"/>
        <v>0.672</v>
      </c>
      <c r="H15" s="23">
        <f t="shared" si="2"/>
        <v>0.6653333333</v>
      </c>
      <c r="I15" s="23">
        <f t="shared" si="2"/>
        <v>0.7843333333</v>
      </c>
      <c r="J15" s="23">
        <f t="shared" si="2"/>
        <v>1.309333333</v>
      </c>
      <c r="K15" s="23">
        <f t="shared" si="2"/>
        <v>0.3866666667</v>
      </c>
      <c r="L15" s="23">
        <f t="shared" si="2"/>
        <v>0.2166666667</v>
      </c>
      <c r="M15" s="23">
        <f t="shared" si="2"/>
        <v>0.405</v>
      </c>
      <c r="N15" s="23">
        <f t="shared" si="2"/>
        <v>1.547333333</v>
      </c>
      <c r="O15" s="23">
        <f t="shared" si="2"/>
        <v>1.806333333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2">
        <v>42917.0</v>
      </c>
      <c r="B16" s="18">
        <f>IFERROR(__xludf.DUMMYFUNCTION("""COMPUTED_VALUE"""),0.698)</f>
        <v>0.698</v>
      </c>
      <c r="C16" s="10"/>
      <c r="D16" s="21" t="s">
        <v>24</v>
      </c>
      <c r="E16" s="22">
        <f t="shared" ref="E16:O16" si="3">AVERAGE(E8:E10)</f>
        <v>0.6463333333</v>
      </c>
      <c r="F16" s="22">
        <f t="shared" si="3"/>
        <v>0.7213333333</v>
      </c>
      <c r="G16" s="22">
        <f t="shared" si="3"/>
        <v>0.7213333333</v>
      </c>
      <c r="H16" s="22">
        <f t="shared" si="3"/>
        <v>0.698</v>
      </c>
      <c r="I16" s="22">
        <f t="shared" si="3"/>
        <v>0.9186666667</v>
      </c>
      <c r="J16" s="22">
        <f t="shared" si="3"/>
        <v>1.278666667</v>
      </c>
      <c r="K16" s="22">
        <f t="shared" si="3"/>
        <v>0.388</v>
      </c>
      <c r="L16" s="22">
        <f t="shared" si="3"/>
        <v>0.2993333333</v>
      </c>
      <c r="M16" s="22">
        <f t="shared" si="3"/>
        <v>0.6133333333</v>
      </c>
      <c r="N16" s="22">
        <f t="shared" si="3"/>
        <v>1.747</v>
      </c>
      <c r="O16" s="22">
        <f t="shared" si="3"/>
        <v>1.966333333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2">
        <v>43009.0</v>
      </c>
      <c r="B17" s="18">
        <f>IFERROR(__xludf.DUMMYFUNCTION("""COMPUTED_VALUE"""),0.6880000000000001)</f>
        <v>0.688</v>
      </c>
      <c r="C17" s="14"/>
      <c r="D17" s="1" t="s">
        <v>25</v>
      </c>
      <c r="E17" s="23">
        <f t="shared" ref="E17:O17" si="4">AVERAGE(E11:E13)</f>
        <v>0.7026666667</v>
      </c>
      <c r="F17" s="23">
        <f t="shared" si="4"/>
        <v>0.7273333333</v>
      </c>
      <c r="G17" s="23">
        <f t="shared" si="4"/>
        <v>0.7273333333</v>
      </c>
      <c r="H17" s="23">
        <f t="shared" si="4"/>
        <v>0.688</v>
      </c>
      <c r="I17" s="23">
        <f t="shared" si="4"/>
        <v>1.134333333</v>
      </c>
      <c r="J17" s="23">
        <f t="shared" si="4"/>
        <v>0.989</v>
      </c>
      <c r="K17" s="23">
        <f t="shared" si="4"/>
        <v>0.3103333333</v>
      </c>
      <c r="L17" s="23">
        <f t="shared" si="4"/>
        <v>0.4413333333</v>
      </c>
      <c r="M17" s="23">
        <f t="shared" si="4"/>
        <v>1.047333333</v>
      </c>
      <c r="N17" s="23">
        <f t="shared" si="4"/>
        <v>1.750333333</v>
      </c>
      <c r="O17" s="23">
        <f t="shared" si="4"/>
        <v>1.882333333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2">
        <v>43101.0</v>
      </c>
      <c r="B18" s="18">
        <f>IFERROR(__xludf.DUMMYFUNCTION("""COMPUTED_VALUE"""),0.742)</f>
        <v>0.742</v>
      </c>
      <c r="C18" s="1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">
        <v>43191.0</v>
      </c>
      <c r="B19" s="18">
        <f>IFERROR(__xludf.DUMMYFUNCTION("""COMPUTED_VALUE"""),0.7843333333333334)</f>
        <v>0.7843333333</v>
      </c>
      <c r="C19" s="8"/>
    </row>
    <row r="20">
      <c r="A20" s="2">
        <v>43282.0</v>
      </c>
      <c r="B20" s="18">
        <f>IFERROR(__xludf.DUMMYFUNCTION("""COMPUTED_VALUE"""),0.9186666666666667)</f>
        <v>0.9186666667</v>
      </c>
      <c r="C20" s="19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W20" s="15"/>
    </row>
    <row r="21">
      <c r="A21" s="2">
        <v>43374.0</v>
      </c>
      <c r="B21" s="18">
        <f>IFERROR(__xludf.DUMMYFUNCTION("""COMPUTED_VALUE"""),1.1343333333333332)</f>
        <v>1.134333333</v>
      </c>
      <c r="C21" s="8"/>
    </row>
    <row r="22">
      <c r="A22" s="2">
        <v>43466.0</v>
      </c>
      <c r="B22" s="18">
        <f>IFERROR(__xludf.DUMMYFUNCTION("""COMPUTED_VALUE"""),1.3503333333333334)</f>
        <v>1.350333333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2">
        <v>43556.0</v>
      </c>
      <c r="B23" s="18">
        <f>IFERROR(__xludf.DUMMYFUNCTION("""COMPUTED_VALUE"""),1.3093333333333332)</f>
        <v>1.309333333</v>
      </c>
      <c r="C23" s="8"/>
    </row>
    <row r="24">
      <c r="A24" s="2">
        <v>43647.0</v>
      </c>
      <c r="B24" s="18">
        <f>IFERROR(__xludf.DUMMYFUNCTION("""COMPUTED_VALUE"""),1.2786666666666666)</f>
        <v>1.278666667</v>
      </c>
      <c r="C24" s="8"/>
      <c r="D24" s="15"/>
    </row>
    <row r="25">
      <c r="A25" s="2">
        <v>43739.0</v>
      </c>
      <c r="B25" s="18">
        <f>IFERROR(__xludf.DUMMYFUNCTION("""COMPUTED_VALUE"""),0.9889999999999999)</f>
        <v>0.989</v>
      </c>
      <c r="C25" s="8"/>
    </row>
    <row r="26">
      <c r="A26" s="2">
        <v>43831.0</v>
      </c>
      <c r="B26" s="18">
        <f>IFERROR(__xludf.DUMMYFUNCTION("""COMPUTED_VALUE"""),0.35833333333333334)</f>
        <v>0.3583333333</v>
      </c>
      <c r="C26" s="8"/>
    </row>
    <row r="27">
      <c r="A27" s="2">
        <v>43922.0</v>
      </c>
      <c r="B27" s="18">
        <f>IFERROR(__xludf.DUMMYFUNCTION("""COMPUTED_VALUE"""),0.3866666666666667)</f>
        <v>0.3866666667</v>
      </c>
      <c r="C27" s="8"/>
    </row>
    <row r="28">
      <c r="A28" s="2">
        <v>44013.0</v>
      </c>
      <c r="B28" s="18">
        <f>IFERROR(__xludf.DUMMYFUNCTION("""COMPUTED_VALUE"""),0.38799999999999996)</f>
        <v>0.388</v>
      </c>
      <c r="C28" s="8"/>
    </row>
    <row r="29">
      <c r="A29" s="2">
        <v>44105.0</v>
      </c>
      <c r="B29" s="18">
        <f>IFERROR(__xludf.DUMMYFUNCTION("""COMPUTED_VALUE"""),0.31033333333333335)</f>
        <v>0.3103333333</v>
      </c>
      <c r="C29" s="8"/>
    </row>
    <row r="30">
      <c r="A30" s="2">
        <v>44197.0</v>
      </c>
      <c r="B30" s="18">
        <f>IFERROR(__xludf.DUMMYFUNCTION("""COMPUTED_VALUE"""),0.20733333333333334)</f>
        <v>0.2073333333</v>
      </c>
      <c r="C30" s="8"/>
    </row>
    <row r="31">
      <c r="A31" s="2">
        <v>44287.0</v>
      </c>
      <c r="B31" s="18">
        <f>IFERROR(__xludf.DUMMYFUNCTION("""COMPUTED_VALUE"""),0.21666666666666667)</f>
        <v>0.2166666667</v>
      </c>
      <c r="C31" s="8"/>
    </row>
    <row r="32">
      <c r="A32" s="2">
        <v>44378.0</v>
      </c>
      <c r="B32" s="18">
        <f>IFERROR(__xludf.DUMMYFUNCTION("""COMPUTED_VALUE"""),0.29933333333333334)</f>
        <v>0.2993333333</v>
      </c>
      <c r="C32" s="8"/>
    </row>
    <row r="33">
      <c r="A33" s="2">
        <v>44470.0</v>
      </c>
      <c r="B33" s="18">
        <f>IFERROR(__xludf.DUMMYFUNCTION("""COMPUTED_VALUE"""),0.44133333333333336)</f>
        <v>0.4413333333</v>
      </c>
      <c r="C33" s="8"/>
    </row>
    <row r="34">
      <c r="A34" s="2">
        <v>44562.0</v>
      </c>
      <c r="B34" s="18">
        <f>IFERROR(__xludf.DUMMYFUNCTION("""COMPUTED_VALUE"""),0.3866666666666667)</f>
        <v>0.3866666667</v>
      </c>
      <c r="C34" s="8"/>
    </row>
    <row r="35">
      <c r="A35" s="2">
        <v>44652.0</v>
      </c>
      <c r="B35" s="18">
        <f>IFERROR(__xludf.DUMMYFUNCTION("""COMPUTED_VALUE"""),0.405)</f>
        <v>0.405</v>
      </c>
      <c r="C35" s="8"/>
    </row>
    <row r="36">
      <c r="A36" s="2">
        <v>44743.0</v>
      </c>
      <c r="B36" s="18">
        <f>IFERROR(__xludf.DUMMYFUNCTION("""COMPUTED_VALUE"""),0.6133333333333334)</f>
        <v>0.6133333333</v>
      </c>
      <c r="C36" s="8"/>
    </row>
    <row r="37">
      <c r="A37" s="2">
        <v>44835.0</v>
      </c>
      <c r="B37" s="18">
        <f>IFERROR(__xludf.DUMMYFUNCTION("""COMPUTED_VALUE"""),1.0473333333333334)</f>
        <v>1.047333333</v>
      </c>
      <c r="C37" s="8"/>
    </row>
    <row r="38">
      <c r="A38" s="2">
        <v>44927.0</v>
      </c>
      <c r="B38" s="18">
        <f>IFERROR(__xludf.DUMMYFUNCTION("""COMPUTED_VALUE"""),1.2903333333333333)</f>
        <v>1.290333333</v>
      </c>
      <c r="C38" s="8"/>
    </row>
    <row r="39">
      <c r="A39" s="2">
        <v>45017.0</v>
      </c>
      <c r="B39" s="18">
        <f>IFERROR(__xludf.DUMMYFUNCTION("""COMPUTED_VALUE"""),1.5473333333333334)</f>
        <v>1.547333333</v>
      </c>
      <c r="C39" s="8"/>
    </row>
    <row r="40">
      <c r="A40" s="2">
        <v>45108.0</v>
      </c>
      <c r="B40" s="18">
        <f>IFERROR(__xludf.DUMMYFUNCTION("""COMPUTED_VALUE"""),1.7469999999999999)</f>
        <v>1.747</v>
      </c>
      <c r="C40" s="8"/>
    </row>
    <row r="41">
      <c r="A41" s="2">
        <v>45200.0</v>
      </c>
      <c r="B41" s="18">
        <f>IFERROR(__xludf.DUMMYFUNCTION("""COMPUTED_VALUE"""),1.7503333333333335)</f>
        <v>1.750333333</v>
      </c>
      <c r="C41" s="8"/>
    </row>
    <row r="42">
      <c r="A42" s="2">
        <v>45292.0</v>
      </c>
      <c r="B42" s="18">
        <f>IFERROR(__xludf.DUMMYFUNCTION("""COMPUTED_VALUE"""),1.6843333333333337)</f>
        <v>1.684333333</v>
      </c>
      <c r="C42" s="8"/>
    </row>
    <row r="43">
      <c r="A43" s="2">
        <v>45383.0</v>
      </c>
      <c r="B43" s="18">
        <f>IFERROR(__xludf.DUMMYFUNCTION("""COMPUTED_VALUE"""),1.8063333333333331)</f>
        <v>1.806333333</v>
      </c>
      <c r="C43" s="8"/>
    </row>
    <row r="44">
      <c r="A44" s="2">
        <v>45474.0</v>
      </c>
      <c r="B44" s="18">
        <f>IFERROR(__xludf.DUMMYFUNCTION("""COMPUTED_VALUE"""),1.9663333333333333)</f>
        <v>1.966333333</v>
      </c>
      <c r="C44" s="8"/>
    </row>
    <row r="45">
      <c r="A45" s="2">
        <v>45566.0</v>
      </c>
      <c r="B45" s="18">
        <f>IFERROR(__xludf.DUMMYFUNCTION("""COMPUTED_VALUE"""),1.8823333333333334)</f>
        <v>1.882333333</v>
      </c>
      <c r="C45" s="8"/>
    </row>
    <row r="46">
      <c r="A46" s="2"/>
      <c r="B46" s="16"/>
      <c r="C46" s="8"/>
    </row>
    <row r="47">
      <c r="B47" s="16"/>
      <c r="C47" s="8"/>
    </row>
    <row r="48">
      <c r="B48" s="16"/>
      <c r="C48" s="8"/>
    </row>
    <row r="49">
      <c r="B49" s="16"/>
      <c r="C49" s="8"/>
    </row>
    <row r="50">
      <c r="B50" s="16"/>
      <c r="C50" s="8"/>
    </row>
    <row r="51">
      <c r="B51" s="16"/>
      <c r="C51" s="8"/>
    </row>
    <row r="52">
      <c r="B52" s="16"/>
      <c r="C52" s="8"/>
    </row>
    <row r="53">
      <c r="B53" s="16"/>
      <c r="C53" s="8"/>
    </row>
    <row r="54">
      <c r="B54" s="16"/>
      <c r="C54" s="8"/>
    </row>
    <row r="55">
      <c r="B55" s="16"/>
      <c r="C55" s="8"/>
    </row>
    <row r="56">
      <c r="B56" s="16"/>
      <c r="C56" s="8"/>
    </row>
    <row r="57">
      <c r="B57" s="16"/>
      <c r="C57" s="8"/>
    </row>
    <row r="58">
      <c r="B58" s="16"/>
      <c r="C58" s="8"/>
    </row>
    <row r="59">
      <c r="B59" s="16"/>
      <c r="C59" s="8"/>
    </row>
    <row r="60">
      <c r="B60" s="16"/>
      <c r="C60" s="8"/>
    </row>
    <row r="61">
      <c r="B61" s="16"/>
      <c r="C61" s="8"/>
    </row>
    <row r="62">
      <c r="B62" s="16"/>
      <c r="C62" s="8"/>
    </row>
    <row r="63">
      <c r="B63" s="16"/>
      <c r="C63" s="8"/>
    </row>
    <row r="64">
      <c r="B64" s="16"/>
      <c r="C64" s="8"/>
    </row>
    <row r="65">
      <c r="B65" s="16"/>
      <c r="C65" s="8"/>
    </row>
    <row r="66">
      <c r="B66" s="16"/>
      <c r="C66" s="8"/>
    </row>
    <row r="67">
      <c r="B67" s="16"/>
      <c r="C67" s="8"/>
    </row>
    <row r="68">
      <c r="B68" s="16"/>
      <c r="C68" s="8"/>
    </row>
    <row r="69">
      <c r="B69" s="16"/>
      <c r="C69" s="8"/>
    </row>
    <row r="70">
      <c r="B70" s="16"/>
      <c r="C70" s="8"/>
    </row>
    <row r="71">
      <c r="B71" s="16"/>
      <c r="C71" s="8"/>
    </row>
    <row r="72">
      <c r="B72" s="16"/>
      <c r="C72" s="8"/>
    </row>
    <row r="73">
      <c r="B73" s="16"/>
      <c r="C73" s="8"/>
    </row>
    <row r="74">
      <c r="B74" s="16"/>
      <c r="C74" s="8"/>
    </row>
    <row r="75">
      <c r="B75" s="16"/>
      <c r="C75" s="8"/>
    </row>
    <row r="76">
      <c r="B76" s="16"/>
      <c r="C76" s="8"/>
    </row>
    <row r="77">
      <c r="B77" s="16"/>
      <c r="C77" s="8"/>
    </row>
    <row r="78">
      <c r="B78" s="16"/>
      <c r="C78" s="8"/>
    </row>
    <row r="79">
      <c r="B79" s="16"/>
      <c r="C79" s="8"/>
    </row>
    <row r="80">
      <c r="B80" s="16"/>
      <c r="C80" s="8"/>
    </row>
    <row r="81">
      <c r="B81" s="16"/>
      <c r="C81" s="8"/>
    </row>
    <row r="82">
      <c r="B82" s="16"/>
      <c r="C82" s="8"/>
    </row>
    <row r="83">
      <c r="B83" s="16"/>
      <c r="C83" s="8"/>
    </row>
    <row r="84">
      <c r="B84" s="16"/>
      <c r="C84" s="8"/>
    </row>
    <row r="85">
      <c r="B85" s="16"/>
      <c r="C85" s="8"/>
    </row>
    <row r="86">
      <c r="B86" s="16"/>
      <c r="C86" s="8"/>
    </row>
    <row r="87">
      <c r="B87" s="16"/>
      <c r="C87" s="8"/>
    </row>
    <row r="88">
      <c r="B88" s="16"/>
      <c r="C88" s="8"/>
    </row>
    <row r="89">
      <c r="B89" s="16"/>
      <c r="C89" s="8"/>
    </row>
    <row r="90">
      <c r="B90" s="16"/>
      <c r="C90" s="8"/>
    </row>
    <row r="91">
      <c r="B91" s="16"/>
      <c r="C91" s="8"/>
    </row>
    <row r="92">
      <c r="B92" s="16"/>
      <c r="C92" s="8"/>
    </row>
    <row r="93">
      <c r="B93" s="16"/>
      <c r="C93" s="8"/>
    </row>
    <row r="94">
      <c r="B94" s="16"/>
      <c r="C94" s="8"/>
    </row>
    <row r="95">
      <c r="B95" s="16"/>
      <c r="C95" s="8"/>
    </row>
    <row r="96">
      <c r="B96" s="16"/>
      <c r="C96" s="8"/>
    </row>
    <row r="97">
      <c r="B97" s="16"/>
      <c r="C97" s="8"/>
    </row>
    <row r="98">
      <c r="B98" s="16"/>
      <c r="C98" s="8"/>
    </row>
    <row r="99">
      <c r="B99" s="16"/>
      <c r="C99" s="8"/>
    </row>
    <row r="100">
      <c r="B100" s="16"/>
      <c r="C100" s="8"/>
    </row>
    <row r="101">
      <c r="B101" s="16"/>
      <c r="C101" s="8"/>
    </row>
    <row r="102">
      <c r="B102" s="16"/>
      <c r="C102" s="8"/>
    </row>
    <row r="103">
      <c r="B103" s="16"/>
      <c r="C103" s="8"/>
    </row>
    <row r="104">
      <c r="B104" s="16"/>
      <c r="C104" s="8"/>
    </row>
    <row r="105">
      <c r="B105" s="16"/>
      <c r="C105" s="8"/>
    </row>
    <row r="106">
      <c r="B106" s="16"/>
      <c r="C106" s="8"/>
    </row>
    <row r="107">
      <c r="B107" s="16"/>
      <c r="C107" s="8"/>
    </row>
    <row r="108">
      <c r="B108" s="16"/>
      <c r="C108" s="8"/>
    </row>
    <row r="109">
      <c r="B109" s="16"/>
      <c r="C109" s="8"/>
    </row>
    <row r="110">
      <c r="B110" s="16"/>
      <c r="C110" s="8"/>
    </row>
    <row r="111">
      <c r="B111" s="16"/>
      <c r="C111" s="8"/>
    </row>
    <row r="112">
      <c r="B112" s="16"/>
      <c r="C112" s="8"/>
    </row>
    <row r="113">
      <c r="B113" s="16"/>
      <c r="C113" s="8"/>
    </row>
    <row r="114">
      <c r="B114" s="16"/>
      <c r="C114" s="8"/>
    </row>
    <row r="115">
      <c r="B115" s="16"/>
      <c r="C115" s="8"/>
    </row>
    <row r="116">
      <c r="B116" s="16"/>
      <c r="C116" s="8"/>
    </row>
    <row r="117">
      <c r="B117" s="16"/>
      <c r="C117" s="8"/>
    </row>
    <row r="118">
      <c r="B118" s="16"/>
      <c r="C118" s="8"/>
    </row>
    <row r="119">
      <c r="B119" s="16"/>
      <c r="C119" s="8"/>
    </row>
    <row r="120">
      <c r="B120" s="16"/>
      <c r="C120" s="8"/>
    </row>
    <row r="121">
      <c r="B121" s="16"/>
      <c r="C121" s="8"/>
    </row>
    <row r="122">
      <c r="B122" s="16"/>
      <c r="C122" s="8"/>
    </row>
    <row r="123">
      <c r="B123" s="16"/>
      <c r="C123" s="8"/>
    </row>
    <row r="124">
      <c r="B124" s="16"/>
      <c r="C124" s="8"/>
    </row>
    <row r="125">
      <c r="B125" s="16"/>
      <c r="C125" s="8"/>
    </row>
    <row r="126">
      <c r="B126" s="16"/>
      <c r="C126" s="8"/>
    </row>
    <row r="127">
      <c r="B127" s="16"/>
      <c r="C127" s="8"/>
    </row>
    <row r="128">
      <c r="B128" s="16"/>
      <c r="C128" s="8"/>
    </row>
    <row r="129">
      <c r="B129" s="16"/>
      <c r="C129" s="8"/>
    </row>
    <row r="130">
      <c r="B130" s="16"/>
      <c r="C130" s="8"/>
    </row>
    <row r="131">
      <c r="B131" s="16"/>
      <c r="C131" s="8"/>
    </row>
    <row r="132">
      <c r="B132" s="16"/>
      <c r="C132" s="8"/>
    </row>
    <row r="133">
      <c r="B133" s="16"/>
      <c r="C133" s="8"/>
    </row>
    <row r="134">
      <c r="B134" s="16"/>
      <c r="C134" s="8"/>
    </row>
    <row r="135">
      <c r="B135" s="16"/>
      <c r="C135" s="8"/>
    </row>
    <row r="136">
      <c r="B136" s="16"/>
      <c r="C136" s="8"/>
    </row>
    <row r="137">
      <c r="B137" s="16"/>
      <c r="C137" s="8"/>
    </row>
    <row r="138">
      <c r="B138" s="16"/>
      <c r="C138" s="8"/>
    </row>
    <row r="139">
      <c r="B139" s="16"/>
      <c r="C139" s="8"/>
    </row>
    <row r="140">
      <c r="B140" s="16"/>
      <c r="C140" s="8"/>
    </row>
    <row r="141">
      <c r="B141" s="16"/>
      <c r="C141" s="8"/>
    </row>
    <row r="142">
      <c r="B142" s="16"/>
      <c r="C142" s="8"/>
    </row>
    <row r="143">
      <c r="B143" s="16"/>
      <c r="C143" s="8"/>
    </row>
    <row r="144">
      <c r="B144" s="16"/>
      <c r="C144" s="8"/>
    </row>
    <row r="145">
      <c r="B145" s="16"/>
      <c r="C145" s="8"/>
    </row>
    <row r="146">
      <c r="B146" s="16"/>
      <c r="C146" s="8"/>
    </row>
    <row r="147">
      <c r="B147" s="16"/>
      <c r="C147" s="8"/>
    </row>
    <row r="148">
      <c r="B148" s="16"/>
      <c r="C148" s="8"/>
    </row>
    <row r="149">
      <c r="B149" s="16"/>
      <c r="C149" s="8"/>
    </row>
    <row r="150">
      <c r="B150" s="16"/>
      <c r="C150" s="8"/>
    </row>
    <row r="151">
      <c r="B151" s="16"/>
      <c r="C151" s="8"/>
    </row>
    <row r="152">
      <c r="B152" s="16"/>
      <c r="C152" s="8"/>
    </row>
    <row r="153">
      <c r="B153" s="16"/>
      <c r="C153" s="8"/>
    </row>
    <row r="154">
      <c r="B154" s="16"/>
      <c r="C154" s="8"/>
    </row>
    <row r="155">
      <c r="B155" s="16"/>
      <c r="C155" s="8"/>
    </row>
    <row r="156">
      <c r="B156" s="16"/>
      <c r="C156" s="8"/>
    </row>
    <row r="157">
      <c r="B157" s="16"/>
      <c r="C157" s="8"/>
    </row>
    <row r="158">
      <c r="B158" s="16"/>
      <c r="C158" s="8"/>
    </row>
    <row r="159">
      <c r="B159" s="16"/>
      <c r="C159" s="8"/>
    </row>
    <row r="160">
      <c r="B160" s="16"/>
      <c r="C160" s="8"/>
    </row>
    <row r="161">
      <c r="B161" s="16"/>
      <c r="C161" s="8"/>
    </row>
    <row r="162">
      <c r="B162" s="16"/>
      <c r="C162" s="8"/>
    </row>
    <row r="163">
      <c r="B163" s="16"/>
      <c r="C163" s="8"/>
    </row>
    <row r="164">
      <c r="B164" s="16"/>
      <c r="C164" s="8"/>
    </row>
    <row r="165">
      <c r="B165" s="16"/>
      <c r="C165" s="8"/>
    </row>
    <row r="166">
      <c r="B166" s="16"/>
      <c r="C166" s="8"/>
    </row>
    <row r="167">
      <c r="B167" s="16"/>
      <c r="C167" s="8"/>
    </row>
    <row r="168">
      <c r="B168" s="16"/>
      <c r="C168" s="8"/>
    </row>
    <row r="169">
      <c r="B169" s="16"/>
      <c r="C169" s="8"/>
    </row>
    <row r="170">
      <c r="B170" s="16"/>
      <c r="C170" s="8"/>
    </row>
    <row r="171">
      <c r="B171" s="16"/>
      <c r="C171" s="8"/>
    </row>
    <row r="172">
      <c r="B172" s="16"/>
      <c r="C172" s="8"/>
    </row>
    <row r="173">
      <c r="B173" s="16"/>
      <c r="C173" s="8"/>
    </row>
    <row r="174">
      <c r="B174" s="16"/>
      <c r="C174" s="8"/>
    </row>
    <row r="175">
      <c r="B175" s="16"/>
      <c r="C175" s="8"/>
    </row>
    <row r="176">
      <c r="B176" s="16"/>
      <c r="C176" s="8"/>
    </row>
    <row r="177">
      <c r="B177" s="16"/>
      <c r="C177" s="8"/>
    </row>
    <row r="178">
      <c r="B178" s="16"/>
      <c r="C178" s="8"/>
    </row>
    <row r="179">
      <c r="B179" s="16"/>
      <c r="C179" s="8"/>
    </row>
    <row r="180">
      <c r="B180" s="16"/>
      <c r="C180" s="8"/>
    </row>
    <row r="181">
      <c r="B181" s="16"/>
      <c r="C181" s="8"/>
    </row>
    <row r="182">
      <c r="B182" s="16"/>
      <c r="C182" s="8"/>
    </row>
    <row r="183">
      <c r="B183" s="16"/>
      <c r="C183" s="8"/>
    </row>
    <row r="184">
      <c r="B184" s="16"/>
      <c r="C184" s="8"/>
    </row>
    <row r="185">
      <c r="B185" s="16"/>
      <c r="C185" s="8"/>
    </row>
    <row r="186">
      <c r="B186" s="16"/>
      <c r="C186" s="8"/>
    </row>
    <row r="187">
      <c r="B187" s="16"/>
      <c r="C187" s="8"/>
    </row>
    <row r="188">
      <c r="B188" s="16"/>
      <c r="C188" s="8"/>
    </row>
    <row r="189">
      <c r="B189" s="16"/>
      <c r="C189" s="8"/>
    </row>
    <row r="190">
      <c r="B190" s="16"/>
      <c r="C190" s="8"/>
    </row>
    <row r="191">
      <c r="B191" s="16"/>
      <c r="C191" s="8"/>
    </row>
    <row r="192">
      <c r="B192" s="16"/>
      <c r="C192" s="8"/>
    </row>
    <row r="193">
      <c r="B193" s="16"/>
      <c r="C193" s="8"/>
    </row>
    <row r="194">
      <c r="B194" s="16"/>
      <c r="C194" s="8"/>
    </row>
    <row r="195">
      <c r="B195" s="16"/>
      <c r="C195" s="8"/>
    </row>
    <row r="196">
      <c r="B196" s="16"/>
      <c r="C196" s="8"/>
    </row>
    <row r="197">
      <c r="B197" s="16"/>
      <c r="C197" s="8"/>
    </row>
    <row r="198">
      <c r="B198" s="16"/>
      <c r="C198" s="8"/>
    </row>
    <row r="199">
      <c r="B199" s="16"/>
      <c r="C199" s="8"/>
    </row>
    <row r="200">
      <c r="B200" s="16"/>
      <c r="C200" s="8"/>
    </row>
    <row r="201">
      <c r="B201" s="16"/>
      <c r="C201" s="8"/>
    </row>
    <row r="202">
      <c r="B202" s="16"/>
      <c r="C202" s="8"/>
    </row>
    <row r="203">
      <c r="B203" s="16"/>
      <c r="C203" s="8"/>
    </row>
    <row r="204">
      <c r="B204" s="16"/>
      <c r="C204" s="8"/>
    </row>
    <row r="205">
      <c r="B205" s="16"/>
      <c r="C205" s="8"/>
    </row>
    <row r="206">
      <c r="B206" s="16"/>
      <c r="C206" s="8"/>
    </row>
    <row r="207">
      <c r="B207" s="16"/>
      <c r="C207" s="8"/>
    </row>
    <row r="208">
      <c r="B208" s="16"/>
      <c r="C208" s="8"/>
    </row>
    <row r="209">
      <c r="B209" s="16"/>
      <c r="C209" s="8"/>
    </row>
    <row r="210">
      <c r="B210" s="16"/>
      <c r="C210" s="8"/>
    </row>
    <row r="211">
      <c r="B211" s="16"/>
      <c r="C211" s="8"/>
    </row>
    <row r="212">
      <c r="B212" s="16"/>
      <c r="C212" s="8"/>
    </row>
    <row r="213">
      <c r="B213" s="16"/>
      <c r="C213" s="8"/>
    </row>
    <row r="214">
      <c r="B214" s="16"/>
      <c r="C214" s="8"/>
    </row>
    <row r="215">
      <c r="B215" s="16"/>
      <c r="C215" s="8"/>
    </row>
    <row r="216">
      <c r="B216" s="16"/>
      <c r="C216" s="8"/>
    </row>
    <row r="217">
      <c r="B217" s="16"/>
      <c r="C217" s="8"/>
    </row>
    <row r="218">
      <c r="B218" s="16"/>
      <c r="C218" s="8"/>
    </row>
    <row r="219">
      <c r="B219" s="16"/>
      <c r="C219" s="8"/>
    </row>
    <row r="220">
      <c r="B220" s="16"/>
      <c r="C220" s="8"/>
    </row>
    <row r="221">
      <c r="B221" s="16"/>
      <c r="C221" s="8"/>
    </row>
    <row r="222">
      <c r="B222" s="16"/>
      <c r="C222" s="8"/>
    </row>
    <row r="223">
      <c r="B223" s="16"/>
      <c r="C223" s="8"/>
    </row>
    <row r="224">
      <c r="B224" s="16"/>
      <c r="C224" s="8"/>
    </row>
    <row r="225">
      <c r="B225" s="16"/>
      <c r="C225" s="8"/>
    </row>
    <row r="226">
      <c r="B226" s="16"/>
      <c r="C226" s="8"/>
    </row>
    <row r="227">
      <c r="B227" s="16"/>
      <c r="C227" s="8"/>
    </row>
    <row r="228">
      <c r="B228" s="16"/>
      <c r="C228" s="8"/>
    </row>
    <row r="229">
      <c r="B229" s="16"/>
      <c r="C229" s="8"/>
    </row>
    <row r="230">
      <c r="B230" s="16"/>
      <c r="C230" s="8"/>
    </row>
    <row r="231">
      <c r="B231" s="16"/>
      <c r="C231" s="8"/>
    </row>
    <row r="232">
      <c r="B232" s="16"/>
      <c r="C232" s="8"/>
    </row>
    <row r="233">
      <c r="B233" s="16"/>
      <c r="C233" s="8"/>
    </row>
    <row r="234">
      <c r="B234" s="16"/>
      <c r="C234" s="8"/>
    </row>
    <row r="235">
      <c r="B235" s="16"/>
      <c r="C235" s="8"/>
    </row>
    <row r="236">
      <c r="B236" s="16"/>
      <c r="C236" s="8"/>
    </row>
    <row r="237">
      <c r="B237" s="16"/>
      <c r="C237" s="8"/>
    </row>
    <row r="238">
      <c r="B238" s="16"/>
      <c r="C238" s="8"/>
    </row>
    <row r="239">
      <c r="B239" s="16"/>
      <c r="C239" s="8"/>
    </row>
    <row r="240">
      <c r="B240" s="16"/>
      <c r="C240" s="8"/>
    </row>
    <row r="241">
      <c r="B241" s="16"/>
      <c r="C241" s="8"/>
    </row>
    <row r="242">
      <c r="B242" s="16"/>
      <c r="C242" s="8"/>
    </row>
    <row r="243">
      <c r="B243" s="16"/>
      <c r="C243" s="8"/>
    </row>
    <row r="244">
      <c r="B244" s="16"/>
      <c r="C244" s="8"/>
    </row>
    <row r="245">
      <c r="B245" s="16"/>
      <c r="C245" s="8"/>
    </row>
    <row r="246">
      <c r="B246" s="16"/>
      <c r="C246" s="8"/>
    </row>
    <row r="247">
      <c r="B247" s="16"/>
      <c r="C247" s="8"/>
    </row>
    <row r="248">
      <c r="B248" s="16"/>
      <c r="C248" s="8"/>
    </row>
    <row r="249">
      <c r="B249" s="16"/>
      <c r="C249" s="8"/>
    </row>
    <row r="250">
      <c r="B250" s="16"/>
      <c r="C250" s="8"/>
    </row>
    <row r="251">
      <c r="B251" s="16"/>
      <c r="C251" s="8"/>
    </row>
    <row r="252">
      <c r="B252" s="16"/>
      <c r="C252" s="8"/>
    </row>
    <row r="253">
      <c r="B253" s="16"/>
      <c r="C253" s="8"/>
    </row>
    <row r="254">
      <c r="B254" s="16"/>
      <c r="C254" s="8"/>
    </row>
    <row r="255">
      <c r="B255" s="16"/>
      <c r="C255" s="8"/>
    </row>
    <row r="256">
      <c r="B256" s="16"/>
      <c r="C256" s="8"/>
    </row>
    <row r="257">
      <c r="B257" s="16"/>
      <c r="C257" s="8"/>
    </row>
    <row r="258">
      <c r="B258" s="16"/>
      <c r="C258" s="8"/>
    </row>
    <row r="259">
      <c r="B259" s="16"/>
      <c r="C259" s="8"/>
    </row>
    <row r="260">
      <c r="B260" s="16"/>
      <c r="C260" s="8"/>
    </row>
    <row r="261">
      <c r="B261" s="16"/>
      <c r="C261" s="8"/>
    </row>
    <row r="262">
      <c r="B262" s="16"/>
      <c r="C262" s="8"/>
    </row>
    <row r="263">
      <c r="B263" s="16"/>
      <c r="C263" s="8"/>
    </row>
    <row r="264">
      <c r="B264" s="16"/>
      <c r="C264" s="8"/>
    </row>
    <row r="265">
      <c r="B265" s="16"/>
      <c r="C265" s="8"/>
    </row>
    <row r="266">
      <c r="B266" s="16"/>
      <c r="C266" s="8"/>
    </row>
    <row r="267">
      <c r="B267" s="16"/>
      <c r="C267" s="8"/>
    </row>
    <row r="268">
      <c r="B268" s="16"/>
      <c r="C268" s="8"/>
    </row>
    <row r="269">
      <c r="B269" s="16"/>
      <c r="C269" s="8"/>
    </row>
    <row r="270">
      <c r="B270" s="16"/>
      <c r="C270" s="8"/>
    </row>
    <row r="271">
      <c r="B271" s="16"/>
      <c r="C271" s="8"/>
    </row>
    <row r="272">
      <c r="B272" s="16"/>
      <c r="C272" s="8"/>
    </row>
    <row r="273">
      <c r="B273" s="16"/>
      <c r="C273" s="8"/>
    </row>
    <row r="274">
      <c r="B274" s="16"/>
      <c r="C274" s="8"/>
    </row>
    <row r="275">
      <c r="B275" s="16"/>
      <c r="C275" s="8"/>
    </row>
    <row r="276">
      <c r="B276" s="16"/>
      <c r="C276" s="8"/>
    </row>
    <row r="277">
      <c r="B277" s="16"/>
      <c r="C277" s="8"/>
    </row>
    <row r="278">
      <c r="B278" s="16"/>
      <c r="C278" s="8"/>
    </row>
    <row r="279">
      <c r="B279" s="16"/>
      <c r="C279" s="8"/>
    </row>
    <row r="280">
      <c r="B280" s="16"/>
      <c r="C280" s="8"/>
    </row>
    <row r="281">
      <c r="B281" s="16"/>
      <c r="C281" s="8"/>
    </row>
    <row r="282">
      <c r="B282" s="16"/>
      <c r="C282" s="8"/>
    </row>
    <row r="283">
      <c r="B283" s="16"/>
      <c r="C283" s="8"/>
    </row>
    <row r="284">
      <c r="B284" s="16"/>
      <c r="C284" s="8"/>
    </row>
    <row r="285">
      <c r="B285" s="16"/>
      <c r="C285" s="8"/>
    </row>
    <row r="286">
      <c r="B286" s="16"/>
      <c r="C286" s="8"/>
    </row>
    <row r="287">
      <c r="B287" s="16"/>
      <c r="C287" s="8"/>
    </row>
    <row r="288">
      <c r="B288" s="16"/>
      <c r="C288" s="8"/>
    </row>
    <row r="289">
      <c r="B289" s="16"/>
      <c r="C289" s="8"/>
    </row>
    <row r="290">
      <c r="B290" s="16"/>
      <c r="C290" s="8"/>
    </row>
    <row r="291">
      <c r="B291" s="16"/>
      <c r="C291" s="8"/>
    </row>
    <row r="292">
      <c r="B292" s="16"/>
      <c r="C292" s="8"/>
    </row>
    <row r="293">
      <c r="B293" s="16"/>
      <c r="C293" s="8"/>
    </row>
    <row r="294">
      <c r="B294" s="16"/>
      <c r="C294" s="8"/>
    </row>
    <row r="295">
      <c r="B295" s="16"/>
      <c r="C295" s="8"/>
    </row>
    <row r="296">
      <c r="B296" s="16"/>
      <c r="C296" s="8"/>
    </row>
    <row r="297">
      <c r="B297" s="16"/>
      <c r="C297" s="8"/>
    </row>
    <row r="298">
      <c r="B298" s="16"/>
      <c r="C298" s="8"/>
    </row>
    <row r="299">
      <c r="B299" s="16"/>
      <c r="C299" s="8"/>
    </row>
    <row r="300">
      <c r="B300" s="16"/>
      <c r="C300" s="8"/>
    </row>
    <row r="301">
      <c r="B301" s="16"/>
      <c r="C301" s="8"/>
    </row>
    <row r="302">
      <c r="B302" s="16"/>
      <c r="C302" s="8"/>
    </row>
    <row r="303">
      <c r="B303" s="16"/>
      <c r="C303" s="8"/>
    </row>
    <row r="304">
      <c r="B304" s="16"/>
      <c r="C304" s="8"/>
    </row>
    <row r="305">
      <c r="B305" s="16"/>
      <c r="C305" s="8"/>
    </row>
    <row r="306">
      <c r="B306" s="16"/>
      <c r="C306" s="8"/>
    </row>
    <row r="307">
      <c r="B307" s="16"/>
      <c r="C307" s="8"/>
    </row>
    <row r="308">
      <c r="B308" s="16"/>
      <c r="C308" s="8"/>
    </row>
    <row r="309">
      <c r="B309" s="16"/>
      <c r="C309" s="8"/>
    </row>
    <row r="310">
      <c r="B310" s="16"/>
      <c r="C310" s="8"/>
    </row>
    <row r="311">
      <c r="B311" s="16"/>
      <c r="C311" s="8"/>
    </row>
    <row r="312">
      <c r="B312" s="16"/>
      <c r="C312" s="8"/>
    </row>
    <row r="313">
      <c r="B313" s="16"/>
      <c r="C313" s="8"/>
    </row>
    <row r="314">
      <c r="B314" s="16"/>
      <c r="C314" s="8"/>
    </row>
    <row r="315">
      <c r="B315" s="16"/>
      <c r="C315" s="8"/>
    </row>
    <row r="316">
      <c r="B316" s="16"/>
      <c r="C316" s="8"/>
    </row>
    <row r="317">
      <c r="B317" s="16"/>
      <c r="C317" s="8"/>
    </row>
    <row r="318">
      <c r="B318" s="16"/>
      <c r="C318" s="8"/>
    </row>
    <row r="319">
      <c r="B319" s="16"/>
      <c r="C319" s="8"/>
    </row>
    <row r="320">
      <c r="B320" s="16"/>
      <c r="C320" s="8"/>
    </row>
    <row r="321">
      <c r="B321" s="16"/>
      <c r="C321" s="8"/>
    </row>
    <row r="322">
      <c r="B322" s="16"/>
      <c r="C322" s="8"/>
    </row>
    <row r="323">
      <c r="B323" s="16"/>
      <c r="C323" s="8"/>
    </row>
    <row r="324">
      <c r="B324" s="16"/>
      <c r="C324" s="8"/>
    </row>
    <row r="325">
      <c r="B325" s="16"/>
      <c r="C325" s="8"/>
    </row>
    <row r="326">
      <c r="B326" s="16"/>
      <c r="C326" s="8"/>
    </row>
    <row r="327">
      <c r="B327" s="16"/>
      <c r="C327" s="8"/>
    </row>
    <row r="328">
      <c r="B328" s="16"/>
      <c r="C328" s="8"/>
    </row>
    <row r="329">
      <c r="B329" s="16"/>
      <c r="C329" s="8"/>
    </row>
    <row r="330">
      <c r="B330" s="16"/>
      <c r="C330" s="8"/>
    </row>
    <row r="331">
      <c r="B331" s="16"/>
      <c r="C331" s="8"/>
    </row>
    <row r="332">
      <c r="B332" s="16"/>
      <c r="C332" s="8"/>
    </row>
    <row r="333">
      <c r="B333" s="16"/>
      <c r="C333" s="8"/>
    </row>
    <row r="334">
      <c r="B334" s="16"/>
      <c r="C334" s="8"/>
    </row>
    <row r="335">
      <c r="B335" s="16"/>
      <c r="C335" s="8"/>
    </row>
    <row r="336">
      <c r="B336" s="16"/>
      <c r="C336" s="8"/>
    </row>
    <row r="337">
      <c r="B337" s="16"/>
      <c r="C337" s="8"/>
    </row>
    <row r="338">
      <c r="B338" s="16"/>
      <c r="C338" s="8"/>
    </row>
    <row r="339">
      <c r="B339" s="16"/>
      <c r="C339" s="8"/>
    </row>
    <row r="340">
      <c r="B340" s="16"/>
      <c r="C340" s="8"/>
    </row>
    <row r="341">
      <c r="B341" s="16"/>
      <c r="C341" s="8"/>
    </row>
    <row r="342">
      <c r="B342" s="16"/>
      <c r="C342" s="8"/>
    </row>
    <row r="343">
      <c r="B343" s="16"/>
      <c r="C343" s="8"/>
    </row>
    <row r="344">
      <c r="B344" s="16"/>
      <c r="C344" s="8"/>
    </row>
    <row r="345">
      <c r="B345" s="16"/>
      <c r="C345" s="8"/>
    </row>
    <row r="346">
      <c r="B346" s="16"/>
      <c r="C346" s="8"/>
    </row>
    <row r="347">
      <c r="B347" s="16"/>
      <c r="C347" s="8"/>
    </row>
    <row r="348">
      <c r="B348" s="16"/>
      <c r="C348" s="8"/>
    </row>
    <row r="349">
      <c r="B349" s="16"/>
      <c r="C349" s="8"/>
    </row>
    <row r="350">
      <c r="B350" s="16"/>
      <c r="C350" s="8"/>
    </row>
    <row r="351">
      <c r="B351" s="16"/>
      <c r="C351" s="8"/>
    </row>
    <row r="352">
      <c r="B352" s="16"/>
      <c r="C352" s="8"/>
    </row>
    <row r="353">
      <c r="B353" s="16"/>
      <c r="C353" s="8"/>
    </row>
    <row r="354">
      <c r="B354" s="16"/>
      <c r="C354" s="8"/>
    </row>
    <row r="355">
      <c r="B355" s="16"/>
      <c r="C355" s="8"/>
    </row>
    <row r="356">
      <c r="B356" s="16"/>
      <c r="C356" s="8"/>
    </row>
    <row r="357">
      <c r="B357" s="16"/>
      <c r="C357" s="8"/>
    </row>
    <row r="358">
      <c r="B358" s="16"/>
      <c r="C358" s="8"/>
    </row>
    <row r="359">
      <c r="B359" s="16"/>
      <c r="C359" s="8"/>
    </row>
    <row r="360">
      <c r="B360" s="16"/>
      <c r="C360" s="8"/>
    </row>
    <row r="361">
      <c r="B361" s="16"/>
      <c r="C361" s="8"/>
    </row>
    <row r="362">
      <c r="B362" s="16"/>
      <c r="C362" s="8"/>
    </row>
    <row r="363">
      <c r="B363" s="16"/>
      <c r="C363" s="8"/>
    </row>
    <row r="364">
      <c r="B364" s="16"/>
      <c r="C364" s="8"/>
    </row>
    <row r="365">
      <c r="B365" s="16"/>
      <c r="C365" s="8"/>
    </row>
    <row r="366">
      <c r="B366" s="16"/>
      <c r="C366" s="8"/>
    </row>
    <row r="367">
      <c r="B367" s="16"/>
      <c r="C367" s="8"/>
    </row>
    <row r="368">
      <c r="B368" s="16"/>
      <c r="C368" s="8"/>
    </row>
    <row r="369">
      <c r="B369" s="16"/>
      <c r="C369" s="8"/>
    </row>
    <row r="370">
      <c r="B370" s="16"/>
      <c r="C370" s="8"/>
    </row>
    <row r="371">
      <c r="B371" s="16"/>
      <c r="C371" s="8"/>
    </row>
    <row r="372">
      <c r="B372" s="16"/>
      <c r="C372" s="8"/>
    </row>
    <row r="373">
      <c r="B373" s="16"/>
      <c r="C373" s="8"/>
    </row>
    <row r="374">
      <c r="B374" s="16"/>
      <c r="C374" s="8"/>
    </row>
    <row r="375">
      <c r="B375" s="16"/>
      <c r="C375" s="8"/>
    </row>
    <row r="376">
      <c r="B376" s="16"/>
      <c r="C376" s="8"/>
    </row>
    <row r="377">
      <c r="B377" s="16"/>
      <c r="C377" s="8"/>
    </row>
    <row r="378">
      <c r="B378" s="16"/>
      <c r="C378" s="8"/>
    </row>
    <row r="379">
      <c r="B379" s="16"/>
      <c r="C379" s="8"/>
    </row>
    <row r="380">
      <c r="B380" s="16"/>
      <c r="C380" s="8"/>
    </row>
    <row r="381">
      <c r="B381" s="16"/>
      <c r="C381" s="8"/>
    </row>
    <row r="382">
      <c r="B382" s="16"/>
      <c r="C382" s="8"/>
    </row>
    <row r="383">
      <c r="B383" s="16"/>
      <c r="C383" s="8"/>
    </row>
    <row r="384">
      <c r="B384" s="16"/>
      <c r="C384" s="8"/>
    </row>
    <row r="385">
      <c r="B385" s="16"/>
      <c r="C385" s="8"/>
    </row>
    <row r="386">
      <c r="B386" s="16"/>
      <c r="C386" s="8"/>
    </row>
    <row r="387">
      <c r="B387" s="16"/>
      <c r="C387" s="8"/>
    </row>
    <row r="388">
      <c r="B388" s="16"/>
      <c r="C388" s="8"/>
    </row>
    <row r="389">
      <c r="B389" s="16"/>
      <c r="C389" s="8"/>
    </row>
    <row r="390">
      <c r="B390" s="16"/>
      <c r="C390" s="8"/>
    </row>
    <row r="391">
      <c r="B391" s="16"/>
      <c r="C391" s="8"/>
    </row>
    <row r="392">
      <c r="B392" s="16"/>
      <c r="C392" s="8"/>
    </row>
    <row r="393">
      <c r="B393" s="16"/>
      <c r="C393" s="8"/>
    </row>
    <row r="394">
      <c r="B394" s="16"/>
      <c r="C394" s="8"/>
    </row>
    <row r="395">
      <c r="B395" s="16"/>
      <c r="C395" s="8"/>
    </row>
    <row r="396">
      <c r="B396" s="16"/>
      <c r="C396" s="8"/>
    </row>
    <row r="397">
      <c r="B397" s="16"/>
      <c r="C397" s="8"/>
    </row>
    <row r="398">
      <c r="B398" s="16"/>
      <c r="C398" s="8"/>
    </row>
    <row r="399">
      <c r="B399" s="16"/>
      <c r="C399" s="8"/>
    </row>
    <row r="400">
      <c r="B400" s="16"/>
      <c r="C400" s="8"/>
    </row>
    <row r="401">
      <c r="B401" s="16"/>
      <c r="C401" s="8"/>
    </row>
    <row r="402">
      <c r="B402" s="16"/>
      <c r="C402" s="8"/>
    </row>
    <row r="403">
      <c r="B403" s="16"/>
      <c r="C403" s="8"/>
    </row>
    <row r="404">
      <c r="B404" s="16"/>
      <c r="C404" s="8"/>
    </row>
    <row r="405">
      <c r="B405" s="16"/>
      <c r="C405" s="8"/>
    </row>
    <row r="406">
      <c r="B406" s="16"/>
      <c r="C406" s="8"/>
    </row>
    <row r="407">
      <c r="B407" s="16"/>
      <c r="C407" s="8"/>
    </row>
    <row r="408">
      <c r="B408" s="16"/>
      <c r="C408" s="8"/>
    </row>
    <row r="409">
      <c r="B409" s="16"/>
      <c r="C409" s="8"/>
    </row>
    <row r="410">
      <c r="B410" s="16"/>
      <c r="C410" s="8"/>
    </row>
    <row r="411">
      <c r="B411" s="16"/>
      <c r="C411" s="8"/>
    </row>
    <row r="412">
      <c r="B412" s="16"/>
      <c r="C412" s="8"/>
    </row>
    <row r="413">
      <c r="B413" s="16"/>
      <c r="C413" s="8"/>
    </row>
    <row r="414">
      <c r="B414" s="16"/>
      <c r="C414" s="8"/>
    </row>
    <row r="415">
      <c r="B415" s="16"/>
      <c r="C415" s="8"/>
    </row>
    <row r="416">
      <c r="B416" s="16"/>
      <c r="C416" s="8"/>
    </row>
    <row r="417">
      <c r="B417" s="16"/>
      <c r="C417" s="8"/>
    </row>
    <row r="418">
      <c r="B418" s="16"/>
      <c r="C418" s="8"/>
    </row>
    <row r="419">
      <c r="B419" s="16"/>
      <c r="C419" s="8"/>
    </row>
    <row r="420">
      <c r="B420" s="16"/>
      <c r="C420" s="8"/>
    </row>
    <row r="421">
      <c r="B421" s="16"/>
      <c r="C421" s="8"/>
    </row>
    <row r="422">
      <c r="B422" s="16"/>
      <c r="C422" s="8"/>
    </row>
    <row r="423">
      <c r="B423" s="16"/>
      <c r="C423" s="8"/>
    </row>
    <row r="424">
      <c r="B424" s="16"/>
      <c r="C424" s="8"/>
    </row>
    <row r="425">
      <c r="B425" s="16"/>
      <c r="C425" s="8"/>
    </row>
    <row r="426">
      <c r="B426" s="16"/>
      <c r="C426" s="8"/>
    </row>
    <row r="427">
      <c r="B427" s="16"/>
      <c r="C427" s="8"/>
    </row>
    <row r="428">
      <c r="B428" s="16"/>
      <c r="C428" s="8"/>
    </row>
    <row r="429">
      <c r="B429" s="16"/>
      <c r="C429" s="8"/>
    </row>
    <row r="430">
      <c r="B430" s="16"/>
      <c r="C430" s="8"/>
    </row>
    <row r="431">
      <c r="B431" s="16"/>
      <c r="C431" s="8"/>
    </row>
    <row r="432">
      <c r="B432" s="16"/>
      <c r="C432" s="8"/>
    </row>
    <row r="433">
      <c r="B433" s="16"/>
      <c r="C433" s="8"/>
    </row>
    <row r="434">
      <c r="B434" s="16"/>
      <c r="C434" s="8"/>
    </row>
    <row r="435">
      <c r="B435" s="16"/>
      <c r="C435" s="8"/>
    </row>
    <row r="436">
      <c r="B436" s="16"/>
      <c r="C436" s="8"/>
    </row>
    <row r="437">
      <c r="B437" s="16"/>
      <c r="C437" s="8"/>
    </row>
    <row r="438">
      <c r="B438" s="16"/>
      <c r="C438" s="8"/>
    </row>
    <row r="439">
      <c r="B439" s="16"/>
      <c r="C439" s="8"/>
    </row>
    <row r="440">
      <c r="B440" s="16"/>
      <c r="C440" s="8"/>
    </row>
    <row r="441">
      <c r="B441" s="16"/>
      <c r="C441" s="8"/>
    </row>
    <row r="442">
      <c r="B442" s="16"/>
      <c r="C442" s="8"/>
    </row>
    <row r="443">
      <c r="B443" s="16"/>
      <c r="C443" s="8"/>
    </row>
    <row r="444">
      <c r="B444" s="16"/>
      <c r="C444" s="8"/>
    </row>
    <row r="445">
      <c r="B445" s="16"/>
      <c r="C445" s="8"/>
    </row>
    <row r="446">
      <c r="B446" s="16"/>
      <c r="C446" s="8"/>
    </row>
    <row r="447">
      <c r="B447" s="16"/>
      <c r="C447" s="8"/>
    </row>
    <row r="448">
      <c r="B448" s="16"/>
      <c r="C448" s="8"/>
    </row>
    <row r="449">
      <c r="B449" s="16"/>
      <c r="C449" s="8"/>
    </row>
    <row r="450">
      <c r="B450" s="16"/>
      <c r="C450" s="8"/>
    </row>
    <row r="451">
      <c r="B451" s="16"/>
      <c r="C451" s="8"/>
    </row>
    <row r="452">
      <c r="B452" s="16"/>
      <c r="C452" s="8"/>
    </row>
    <row r="453">
      <c r="B453" s="16"/>
      <c r="C453" s="8"/>
    </row>
    <row r="454">
      <c r="B454" s="16"/>
      <c r="C454" s="8"/>
    </row>
    <row r="455">
      <c r="B455" s="16"/>
      <c r="C455" s="8"/>
    </row>
    <row r="456">
      <c r="B456" s="16"/>
      <c r="C456" s="8"/>
    </row>
    <row r="457">
      <c r="B457" s="16"/>
      <c r="C457" s="8"/>
    </row>
    <row r="458">
      <c r="B458" s="16"/>
      <c r="C458" s="8"/>
    </row>
    <row r="459">
      <c r="B459" s="16"/>
      <c r="C459" s="8"/>
    </row>
    <row r="460">
      <c r="B460" s="16"/>
      <c r="C460" s="8"/>
    </row>
    <row r="461">
      <c r="B461" s="16"/>
      <c r="C461" s="8"/>
    </row>
    <row r="462">
      <c r="B462" s="16"/>
      <c r="C462" s="8"/>
    </row>
    <row r="463">
      <c r="B463" s="16"/>
      <c r="C463" s="8"/>
    </row>
    <row r="464">
      <c r="B464" s="16"/>
      <c r="C464" s="8"/>
    </row>
    <row r="465">
      <c r="B465" s="16"/>
      <c r="C465" s="8"/>
    </row>
    <row r="466">
      <c r="B466" s="16"/>
      <c r="C466" s="8"/>
    </row>
    <row r="467">
      <c r="B467" s="16"/>
      <c r="C467" s="8"/>
    </row>
    <row r="468">
      <c r="B468" s="16"/>
      <c r="C468" s="8"/>
    </row>
    <row r="469">
      <c r="B469" s="16"/>
      <c r="C469" s="8"/>
    </row>
    <row r="470">
      <c r="B470" s="16"/>
      <c r="C470" s="8"/>
    </row>
    <row r="471">
      <c r="B471" s="16"/>
      <c r="C471" s="8"/>
    </row>
    <row r="472">
      <c r="B472" s="16"/>
      <c r="C472" s="8"/>
    </row>
    <row r="473">
      <c r="B473" s="16"/>
      <c r="C473" s="8"/>
    </row>
    <row r="474">
      <c r="B474" s="16"/>
      <c r="C474" s="8"/>
    </row>
    <row r="475">
      <c r="B475" s="16"/>
      <c r="C475" s="8"/>
    </row>
    <row r="476">
      <c r="B476" s="16"/>
      <c r="C476" s="8"/>
    </row>
    <row r="477">
      <c r="B477" s="16"/>
      <c r="C477" s="8"/>
    </row>
    <row r="478">
      <c r="B478" s="16"/>
      <c r="C478" s="8"/>
    </row>
    <row r="479">
      <c r="B479" s="16"/>
      <c r="C479" s="8"/>
    </row>
    <row r="480">
      <c r="B480" s="16"/>
      <c r="C480" s="8"/>
    </row>
    <row r="481">
      <c r="B481" s="16"/>
      <c r="C481" s="8"/>
    </row>
    <row r="482">
      <c r="B482" s="16"/>
      <c r="C482" s="8"/>
    </row>
    <row r="483">
      <c r="B483" s="16"/>
      <c r="C483" s="8"/>
    </row>
    <row r="484">
      <c r="B484" s="16"/>
      <c r="C484" s="8"/>
    </row>
    <row r="485">
      <c r="B485" s="16"/>
      <c r="C485" s="8"/>
    </row>
    <row r="486">
      <c r="B486" s="16"/>
      <c r="C486" s="8"/>
    </row>
    <row r="487">
      <c r="B487" s="16"/>
      <c r="C487" s="8"/>
    </row>
    <row r="488">
      <c r="B488" s="16"/>
      <c r="C488" s="8"/>
    </row>
    <row r="489">
      <c r="B489" s="16"/>
      <c r="C489" s="8"/>
    </row>
    <row r="490">
      <c r="B490" s="16"/>
      <c r="C490" s="8"/>
    </row>
    <row r="491">
      <c r="B491" s="16"/>
      <c r="C491" s="8"/>
    </row>
    <row r="492">
      <c r="B492" s="16"/>
      <c r="C492" s="8"/>
    </row>
    <row r="493">
      <c r="B493" s="16"/>
      <c r="C493" s="8"/>
    </row>
    <row r="494">
      <c r="B494" s="16"/>
      <c r="C494" s="8"/>
    </row>
    <row r="495">
      <c r="B495" s="16"/>
      <c r="C495" s="8"/>
    </row>
    <row r="496">
      <c r="B496" s="16"/>
      <c r="C496" s="8"/>
    </row>
    <row r="497">
      <c r="B497" s="16"/>
      <c r="C497" s="8"/>
    </row>
    <row r="498">
      <c r="B498" s="16"/>
      <c r="C498" s="8"/>
    </row>
    <row r="499">
      <c r="B499" s="16"/>
      <c r="C499" s="8"/>
    </row>
    <row r="500">
      <c r="B500" s="16"/>
      <c r="C500" s="8"/>
    </row>
    <row r="501">
      <c r="B501" s="16"/>
      <c r="C501" s="8"/>
    </row>
    <row r="502">
      <c r="B502" s="16"/>
      <c r="C502" s="8"/>
    </row>
    <row r="503">
      <c r="B503" s="16"/>
      <c r="C503" s="8"/>
    </row>
    <row r="504">
      <c r="B504" s="16"/>
      <c r="C504" s="8"/>
    </row>
    <row r="505">
      <c r="B505" s="16"/>
      <c r="C505" s="8"/>
    </row>
    <row r="506">
      <c r="B506" s="16"/>
      <c r="C506" s="8"/>
    </row>
    <row r="507">
      <c r="B507" s="16"/>
      <c r="C507" s="8"/>
    </row>
    <row r="508">
      <c r="B508" s="16"/>
      <c r="C508" s="8"/>
    </row>
    <row r="509">
      <c r="B509" s="16"/>
      <c r="C509" s="8"/>
    </row>
    <row r="510">
      <c r="B510" s="16"/>
      <c r="C510" s="8"/>
    </row>
    <row r="511">
      <c r="B511" s="16"/>
      <c r="C511" s="8"/>
    </row>
    <row r="512">
      <c r="B512" s="16"/>
      <c r="C512" s="8"/>
    </row>
    <row r="513">
      <c r="B513" s="16"/>
      <c r="C513" s="8"/>
    </row>
    <row r="514">
      <c r="B514" s="16"/>
      <c r="C514" s="8"/>
    </row>
    <row r="515">
      <c r="B515" s="16"/>
      <c r="C515" s="8"/>
    </row>
    <row r="516">
      <c r="B516" s="16"/>
      <c r="C516" s="8"/>
    </row>
    <row r="517">
      <c r="B517" s="16"/>
      <c r="C517" s="8"/>
    </row>
    <row r="518">
      <c r="B518" s="16"/>
      <c r="C518" s="8"/>
    </row>
    <row r="519">
      <c r="B519" s="16"/>
      <c r="C519" s="8"/>
    </row>
    <row r="520">
      <c r="B520" s="16"/>
      <c r="C520" s="8"/>
    </row>
    <row r="521">
      <c r="B521" s="16"/>
      <c r="C521" s="8"/>
    </row>
    <row r="522">
      <c r="B522" s="16"/>
      <c r="C522" s="8"/>
    </row>
    <row r="523">
      <c r="B523" s="16"/>
      <c r="C523" s="8"/>
    </row>
    <row r="524">
      <c r="B524" s="16"/>
      <c r="C524" s="8"/>
    </row>
    <row r="525">
      <c r="B525" s="16"/>
      <c r="C525" s="8"/>
    </row>
    <row r="526">
      <c r="B526" s="16"/>
      <c r="C526" s="8"/>
    </row>
    <row r="527">
      <c r="B527" s="16"/>
      <c r="C527" s="8"/>
    </row>
    <row r="528">
      <c r="B528" s="16"/>
      <c r="C528" s="8"/>
    </row>
    <row r="529">
      <c r="B529" s="16"/>
      <c r="C529" s="8"/>
    </row>
    <row r="530">
      <c r="B530" s="16"/>
      <c r="C530" s="8"/>
    </row>
    <row r="531">
      <c r="B531" s="16"/>
      <c r="C531" s="8"/>
    </row>
    <row r="532">
      <c r="B532" s="16"/>
      <c r="C532" s="8"/>
    </row>
    <row r="533">
      <c r="B533" s="16"/>
      <c r="C533" s="8"/>
    </row>
    <row r="534">
      <c r="B534" s="16"/>
      <c r="C534" s="8"/>
    </row>
    <row r="535">
      <c r="B535" s="16"/>
      <c r="C535" s="8"/>
    </row>
    <row r="536">
      <c r="B536" s="16"/>
      <c r="C536" s="8"/>
    </row>
    <row r="537">
      <c r="B537" s="16"/>
      <c r="C537" s="8"/>
    </row>
    <row r="538">
      <c r="B538" s="16"/>
      <c r="C538" s="8"/>
    </row>
    <row r="539">
      <c r="B539" s="16"/>
      <c r="C539" s="8"/>
    </row>
    <row r="540">
      <c r="B540" s="16"/>
      <c r="C540" s="8"/>
    </row>
    <row r="541">
      <c r="B541" s="16"/>
      <c r="C541" s="8"/>
    </row>
    <row r="542">
      <c r="B542" s="16"/>
      <c r="C542" s="8"/>
    </row>
    <row r="543">
      <c r="B543" s="16"/>
      <c r="C543" s="8"/>
    </row>
    <row r="544">
      <c r="B544" s="16"/>
      <c r="C544" s="8"/>
    </row>
    <row r="545">
      <c r="B545" s="16"/>
      <c r="C545" s="8"/>
    </row>
    <row r="546">
      <c r="B546" s="16"/>
      <c r="C546" s="8"/>
    </row>
    <row r="547">
      <c r="B547" s="16"/>
      <c r="C547" s="8"/>
    </row>
    <row r="548">
      <c r="B548" s="16"/>
      <c r="C548" s="8"/>
    </row>
    <row r="549">
      <c r="B549" s="16"/>
      <c r="C549" s="8"/>
    </row>
    <row r="550">
      <c r="B550" s="16"/>
      <c r="C550" s="8"/>
    </row>
    <row r="551">
      <c r="B551" s="16"/>
      <c r="C551" s="8"/>
    </row>
    <row r="552">
      <c r="B552" s="16"/>
      <c r="C552" s="8"/>
    </row>
    <row r="553">
      <c r="B553" s="16"/>
      <c r="C553" s="8"/>
    </row>
    <row r="554">
      <c r="B554" s="16"/>
      <c r="C554" s="8"/>
    </row>
    <row r="555">
      <c r="B555" s="16"/>
      <c r="C555" s="8"/>
    </row>
    <row r="556">
      <c r="B556" s="16"/>
      <c r="C556" s="8"/>
    </row>
    <row r="557">
      <c r="B557" s="16"/>
      <c r="C557" s="8"/>
    </row>
    <row r="558">
      <c r="B558" s="16"/>
      <c r="C558" s="8"/>
    </row>
    <row r="559">
      <c r="B559" s="16"/>
      <c r="C559" s="8"/>
    </row>
    <row r="560">
      <c r="B560" s="16"/>
      <c r="C560" s="8"/>
    </row>
    <row r="561">
      <c r="B561" s="16"/>
      <c r="C561" s="8"/>
    </row>
    <row r="562">
      <c r="B562" s="16"/>
      <c r="C562" s="8"/>
    </row>
    <row r="563">
      <c r="B563" s="16"/>
      <c r="C563" s="8"/>
    </row>
    <row r="564">
      <c r="B564" s="16"/>
      <c r="C564" s="8"/>
    </row>
    <row r="565">
      <c r="B565" s="16"/>
      <c r="C565" s="8"/>
    </row>
    <row r="566">
      <c r="B566" s="16"/>
      <c r="C566" s="8"/>
    </row>
    <row r="567">
      <c r="B567" s="16"/>
      <c r="C567" s="8"/>
    </row>
    <row r="568">
      <c r="B568" s="16"/>
      <c r="C568" s="8"/>
    </row>
    <row r="569">
      <c r="B569" s="16"/>
      <c r="C569" s="8"/>
    </row>
    <row r="570">
      <c r="B570" s="16"/>
      <c r="C570" s="8"/>
    </row>
    <row r="571">
      <c r="B571" s="16"/>
      <c r="C571" s="8"/>
    </row>
    <row r="572">
      <c r="B572" s="16"/>
      <c r="C572" s="8"/>
    </row>
    <row r="573">
      <c r="B573" s="16"/>
      <c r="C573" s="8"/>
    </row>
    <row r="574">
      <c r="B574" s="16"/>
      <c r="C574" s="8"/>
    </row>
    <row r="575">
      <c r="B575" s="16"/>
      <c r="C575" s="8"/>
    </row>
    <row r="576">
      <c r="B576" s="16"/>
      <c r="C576" s="8"/>
    </row>
    <row r="577">
      <c r="B577" s="16"/>
      <c r="C577" s="8"/>
    </row>
    <row r="578">
      <c r="B578" s="16"/>
      <c r="C578" s="8"/>
    </row>
    <row r="579">
      <c r="B579" s="16"/>
      <c r="C579" s="8"/>
    </row>
    <row r="580">
      <c r="B580" s="16"/>
      <c r="C580" s="8"/>
    </row>
    <row r="581">
      <c r="B581" s="16"/>
      <c r="C581" s="8"/>
    </row>
    <row r="582">
      <c r="B582" s="16"/>
      <c r="C582" s="8"/>
    </row>
    <row r="583">
      <c r="B583" s="16"/>
      <c r="C583" s="8"/>
    </row>
    <row r="584">
      <c r="B584" s="16"/>
      <c r="C584" s="8"/>
    </row>
    <row r="585">
      <c r="B585" s="16"/>
      <c r="C585" s="8"/>
    </row>
    <row r="586">
      <c r="B586" s="16"/>
      <c r="C586" s="8"/>
    </row>
    <row r="587">
      <c r="B587" s="16"/>
      <c r="C587" s="8"/>
    </row>
    <row r="588">
      <c r="B588" s="16"/>
      <c r="C588" s="8"/>
    </row>
    <row r="589">
      <c r="B589" s="16"/>
      <c r="C589" s="8"/>
    </row>
    <row r="590">
      <c r="B590" s="16"/>
      <c r="C590" s="8"/>
    </row>
    <row r="591">
      <c r="B591" s="16"/>
      <c r="C591" s="8"/>
    </row>
    <row r="592">
      <c r="B592" s="16"/>
      <c r="C592" s="8"/>
    </row>
    <row r="593">
      <c r="B593" s="16"/>
      <c r="C593" s="8"/>
    </row>
    <row r="594">
      <c r="B594" s="16"/>
      <c r="C594" s="8"/>
    </row>
    <row r="595">
      <c r="B595" s="16"/>
      <c r="C595" s="8"/>
    </row>
    <row r="596">
      <c r="B596" s="16"/>
      <c r="C596" s="8"/>
    </row>
    <row r="597">
      <c r="B597" s="16"/>
      <c r="C597" s="8"/>
    </row>
    <row r="598">
      <c r="B598" s="16"/>
      <c r="C598" s="8"/>
    </row>
    <row r="599">
      <c r="B599" s="16"/>
      <c r="C599" s="8"/>
    </row>
    <row r="600">
      <c r="B600" s="16"/>
      <c r="C600" s="8"/>
    </row>
    <row r="601">
      <c r="B601" s="16"/>
      <c r="C601" s="8"/>
    </row>
    <row r="602">
      <c r="B602" s="16"/>
      <c r="C602" s="8"/>
    </row>
    <row r="603">
      <c r="B603" s="16"/>
      <c r="C603" s="8"/>
    </row>
    <row r="604">
      <c r="B604" s="16"/>
      <c r="C604" s="8"/>
    </row>
    <row r="605">
      <c r="B605" s="16"/>
      <c r="C605" s="8"/>
    </row>
    <row r="606">
      <c r="B606" s="16"/>
      <c r="C606" s="8"/>
    </row>
    <row r="607">
      <c r="B607" s="16"/>
      <c r="C607" s="8"/>
    </row>
    <row r="608">
      <c r="B608" s="16"/>
      <c r="C608" s="8"/>
    </row>
    <row r="609">
      <c r="B609" s="16"/>
      <c r="C609" s="8"/>
    </row>
    <row r="610">
      <c r="B610" s="16"/>
      <c r="C610" s="8"/>
    </row>
    <row r="611">
      <c r="B611" s="16"/>
      <c r="C611" s="8"/>
    </row>
    <row r="612">
      <c r="B612" s="16"/>
      <c r="C612" s="8"/>
    </row>
    <row r="613">
      <c r="B613" s="16"/>
      <c r="C613" s="8"/>
    </row>
    <row r="614">
      <c r="B614" s="16"/>
      <c r="C614" s="8"/>
    </row>
    <row r="615">
      <c r="B615" s="16"/>
      <c r="C615" s="8"/>
    </row>
    <row r="616">
      <c r="B616" s="16"/>
      <c r="C616" s="8"/>
    </row>
    <row r="617">
      <c r="B617" s="16"/>
      <c r="C617" s="8"/>
    </row>
    <row r="618">
      <c r="B618" s="16"/>
      <c r="C618" s="8"/>
    </row>
    <row r="619">
      <c r="B619" s="16"/>
      <c r="C619" s="8"/>
    </row>
    <row r="620">
      <c r="B620" s="16"/>
      <c r="C620" s="8"/>
    </row>
    <row r="621">
      <c r="B621" s="16"/>
      <c r="C621" s="8"/>
    </row>
    <row r="622">
      <c r="B622" s="16"/>
      <c r="C622" s="8"/>
    </row>
    <row r="623">
      <c r="B623" s="16"/>
      <c r="C623" s="8"/>
    </row>
    <row r="624">
      <c r="B624" s="16"/>
      <c r="C624" s="8"/>
    </row>
    <row r="625">
      <c r="B625" s="16"/>
      <c r="C625" s="8"/>
    </row>
    <row r="626">
      <c r="B626" s="16"/>
      <c r="C626" s="8"/>
    </row>
    <row r="627">
      <c r="B627" s="16"/>
      <c r="C627" s="8"/>
    </row>
    <row r="628">
      <c r="B628" s="16"/>
      <c r="C628" s="8"/>
    </row>
    <row r="629">
      <c r="B629" s="16"/>
      <c r="C629" s="8"/>
    </row>
    <row r="630">
      <c r="B630" s="16"/>
      <c r="C630" s="8"/>
    </row>
    <row r="631">
      <c r="B631" s="16"/>
      <c r="C631" s="8"/>
    </row>
    <row r="632">
      <c r="B632" s="16"/>
      <c r="C632" s="8"/>
    </row>
    <row r="633">
      <c r="B633" s="16"/>
      <c r="C633" s="8"/>
    </row>
    <row r="634">
      <c r="B634" s="16"/>
      <c r="C634" s="8"/>
    </row>
    <row r="635">
      <c r="B635" s="16"/>
      <c r="C635" s="8"/>
    </row>
    <row r="636">
      <c r="B636" s="16"/>
      <c r="C636" s="8"/>
    </row>
    <row r="637">
      <c r="B637" s="16"/>
      <c r="C637" s="8"/>
    </row>
    <row r="638">
      <c r="B638" s="16"/>
      <c r="C638" s="8"/>
    </row>
    <row r="639">
      <c r="B639" s="16"/>
      <c r="C639" s="8"/>
    </row>
    <row r="640">
      <c r="B640" s="16"/>
      <c r="C640" s="8"/>
    </row>
    <row r="641">
      <c r="B641" s="16"/>
      <c r="C641" s="8"/>
    </row>
    <row r="642">
      <c r="B642" s="16"/>
      <c r="C642" s="8"/>
    </row>
    <row r="643">
      <c r="B643" s="16"/>
      <c r="C643" s="8"/>
    </row>
    <row r="644">
      <c r="B644" s="16"/>
      <c r="C644" s="8"/>
    </row>
    <row r="645">
      <c r="B645" s="16"/>
      <c r="C645" s="8"/>
    </row>
    <row r="646">
      <c r="B646" s="16"/>
      <c r="C646" s="8"/>
    </row>
    <row r="647">
      <c r="B647" s="16"/>
      <c r="C647" s="8"/>
    </row>
    <row r="648">
      <c r="B648" s="16"/>
      <c r="C648" s="8"/>
    </row>
    <row r="649">
      <c r="B649" s="16"/>
      <c r="C649" s="8"/>
    </row>
    <row r="650">
      <c r="B650" s="16"/>
      <c r="C650" s="8"/>
    </row>
    <row r="651">
      <c r="B651" s="16"/>
      <c r="C651" s="8"/>
    </row>
    <row r="652">
      <c r="B652" s="16"/>
      <c r="C652" s="8"/>
    </row>
    <row r="653">
      <c r="B653" s="16"/>
      <c r="C653" s="8"/>
    </row>
    <row r="654">
      <c r="B654" s="16"/>
      <c r="C654" s="8"/>
    </row>
    <row r="655">
      <c r="B655" s="16"/>
      <c r="C655" s="8"/>
    </row>
    <row r="656">
      <c r="B656" s="16"/>
      <c r="C656" s="8"/>
    </row>
    <row r="657">
      <c r="B657" s="16"/>
      <c r="C657" s="8"/>
    </row>
    <row r="658">
      <c r="B658" s="16"/>
      <c r="C658" s="8"/>
    </row>
    <row r="659">
      <c r="B659" s="16"/>
      <c r="C659" s="8"/>
    </row>
    <row r="660">
      <c r="B660" s="16"/>
      <c r="C660" s="8"/>
    </row>
    <row r="661">
      <c r="B661" s="16"/>
      <c r="C661" s="8"/>
    </row>
    <row r="662">
      <c r="B662" s="16"/>
      <c r="C662" s="8"/>
    </row>
    <row r="663">
      <c r="B663" s="16"/>
      <c r="C663" s="8"/>
    </row>
    <row r="664">
      <c r="B664" s="16"/>
      <c r="C664" s="8"/>
    </row>
    <row r="665">
      <c r="B665" s="16"/>
      <c r="C665" s="8"/>
    </row>
    <row r="666">
      <c r="B666" s="16"/>
      <c r="C666" s="8"/>
    </row>
    <row r="667">
      <c r="B667" s="16"/>
      <c r="C667" s="8"/>
    </row>
    <row r="668">
      <c r="B668" s="16"/>
      <c r="C668" s="8"/>
    </row>
    <row r="669">
      <c r="B669" s="16"/>
      <c r="C669" s="8"/>
    </row>
    <row r="670">
      <c r="B670" s="16"/>
      <c r="C670" s="8"/>
    </row>
    <row r="671">
      <c r="B671" s="16"/>
      <c r="C671" s="8"/>
    </row>
    <row r="672">
      <c r="B672" s="16"/>
      <c r="C672" s="8"/>
    </row>
    <row r="673">
      <c r="B673" s="16"/>
      <c r="C673" s="8"/>
    </row>
    <row r="674">
      <c r="B674" s="16"/>
      <c r="C674" s="8"/>
    </row>
    <row r="675">
      <c r="B675" s="16"/>
      <c r="C675" s="8"/>
    </row>
    <row r="676">
      <c r="B676" s="16"/>
      <c r="C676" s="8"/>
    </row>
    <row r="677">
      <c r="B677" s="16"/>
      <c r="C677" s="8"/>
    </row>
    <row r="678">
      <c r="B678" s="16"/>
      <c r="C678" s="8"/>
    </row>
    <row r="679">
      <c r="B679" s="16"/>
      <c r="C679" s="8"/>
    </row>
    <row r="680">
      <c r="B680" s="16"/>
      <c r="C680" s="8"/>
    </row>
    <row r="681">
      <c r="B681" s="16"/>
      <c r="C681" s="8"/>
    </row>
    <row r="682">
      <c r="B682" s="16"/>
      <c r="C682" s="8"/>
    </row>
    <row r="683">
      <c r="B683" s="16"/>
      <c r="C683" s="8"/>
    </row>
    <row r="684">
      <c r="B684" s="16"/>
      <c r="C684" s="8"/>
    </row>
    <row r="685">
      <c r="B685" s="16"/>
      <c r="C685" s="8"/>
    </row>
    <row r="686">
      <c r="B686" s="16"/>
      <c r="C686" s="8"/>
    </row>
    <row r="687">
      <c r="B687" s="16"/>
      <c r="C687" s="8"/>
    </row>
    <row r="688">
      <c r="B688" s="16"/>
      <c r="C688" s="8"/>
    </row>
    <row r="689">
      <c r="B689" s="16"/>
      <c r="C689" s="8"/>
    </row>
    <row r="690">
      <c r="B690" s="16"/>
      <c r="C690" s="8"/>
    </row>
    <row r="691">
      <c r="B691" s="16"/>
      <c r="C691" s="8"/>
    </row>
    <row r="692">
      <c r="B692" s="16"/>
      <c r="C692" s="8"/>
    </row>
    <row r="693">
      <c r="B693" s="16"/>
      <c r="C693" s="8"/>
    </row>
    <row r="694">
      <c r="B694" s="16"/>
      <c r="C694" s="8"/>
    </row>
    <row r="695">
      <c r="B695" s="16"/>
      <c r="C695" s="8"/>
    </row>
    <row r="696">
      <c r="B696" s="16"/>
      <c r="C696" s="8"/>
    </row>
    <row r="697">
      <c r="B697" s="16"/>
      <c r="C697" s="8"/>
    </row>
    <row r="698">
      <c r="B698" s="16"/>
      <c r="C698" s="8"/>
    </row>
    <row r="699">
      <c r="B699" s="16"/>
      <c r="C699" s="8"/>
    </row>
    <row r="700">
      <c r="B700" s="16"/>
      <c r="C700" s="8"/>
    </row>
    <row r="701">
      <c r="B701" s="16"/>
      <c r="C701" s="8"/>
    </row>
    <row r="702">
      <c r="B702" s="16"/>
      <c r="C702" s="8"/>
    </row>
    <row r="703">
      <c r="B703" s="16"/>
      <c r="C703" s="8"/>
    </row>
    <row r="704">
      <c r="B704" s="16"/>
      <c r="C704" s="8"/>
    </row>
    <row r="705">
      <c r="B705" s="16"/>
      <c r="C705" s="8"/>
    </row>
    <row r="706">
      <c r="B706" s="16"/>
      <c r="C706" s="8"/>
    </row>
    <row r="707">
      <c r="B707" s="16"/>
      <c r="C707" s="8"/>
    </row>
    <row r="708">
      <c r="B708" s="16"/>
      <c r="C708" s="8"/>
    </row>
    <row r="709">
      <c r="B709" s="16"/>
      <c r="C709" s="8"/>
    </row>
    <row r="710">
      <c r="B710" s="16"/>
      <c r="C710" s="8"/>
    </row>
    <row r="711">
      <c r="B711" s="16"/>
      <c r="C711" s="8"/>
    </row>
    <row r="712">
      <c r="B712" s="16"/>
      <c r="C712" s="8"/>
    </row>
    <row r="713">
      <c r="B713" s="16"/>
      <c r="C713" s="8"/>
    </row>
    <row r="714">
      <c r="B714" s="16"/>
      <c r="C714" s="8"/>
    </row>
    <row r="715">
      <c r="B715" s="16"/>
      <c r="C715" s="8"/>
    </row>
    <row r="716">
      <c r="B716" s="16"/>
      <c r="C716" s="8"/>
    </row>
    <row r="717">
      <c r="B717" s="16"/>
      <c r="C717" s="8"/>
    </row>
    <row r="718">
      <c r="B718" s="16"/>
      <c r="C718" s="8"/>
    </row>
    <row r="719">
      <c r="B719" s="16"/>
      <c r="C719" s="8"/>
    </row>
    <row r="720">
      <c r="B720" s="16"/>
      <c r="C720" s="8"/>
    </row>
    <row r="721">
      <c r="B721" s="16"/>
      <c r="C721" s="8"/>
    </row>
    <row r="722">
      <c r="B722" s="16"/>
      <c r="C722" s="8"/>
    </row>
    <row r="723">
      <c r="B723" s="16"/>
      <c r="C723" s="8"/>
    </row>
    <row r="724">
      <c r="B724" s="16"/>
      <c r="C724" s="8"/>
    </row>
    <row r="725">
      <c r="B725" s="16"/>
      <c r="C725" s="8"/>
    </row>
    <row r="726">
      <c r="B726" s="16"/>
      <c r="C726" s="8"/>
    </row>
    <row r="727">
      <c r="B727" s="16"/>
      <c r="C727" s="8"/>
    </row>
    <row r="728">
      <c r="B728" s="16"/>
      <c r="C728" s="8"/>
    </row>
    <row r="729">
      <c r="B729" s="16"/>
      <c r="C729" s="8"/>
    </row>
    <row r="730">
      <c r="B730" s="16"/>
      <c r="C730" s="8"/>
    </row>
    <row r="731">
      <c r="B731" s="16"/>
      <c r="C731" s="8"/>
    </row>
    <row r="732">
      <c r="B732" s="16"/>
      <c r="C732" s="8"/>
    </row>
    <row r="733">
      <c r="B733" s="16"/>
      <c r="C733" s="8"/>
    </row>
    <row r="734">
      <c r="B734" s="16"/>
      <c r="C734" s="8"/>
    </row>
    <row r="735">
      <c r="B735" s="16"/>
      <c r="C735" s="8"/>
    </row>
    <row r="736">
      <c r="B736" s="16"/>
      <c r="C736" s="8"/>
    </row>
    <row r="737">
      <c r="B737" s="16"/>
      <c r="C737" s="8"/>
    </row>
    <row r="738">
      <c r="B738" s="16"/>
      <c r="C738" s="8"/>
    </row>
    <row r="739">
      <c r="B739" s="16"/>
      <c r="C739" s="8"/>
    </row>
    <row r="740">
      <c r="B740" s="16"/>
      <c r="C740" s="8"/>
    </row>
    <row r="741">
      <c r="B741" s="16"/>
      <c r="C741" s="8"/>
    </row>
    <row r="742">
      <c r="B742" s="16"/>
      <c r="C742" s="8"/>
    </row>
    <row r="743">
      <c r="B743" s="16"/>
      <c r="C743" s="8"/>
    </row>
    <row r="744">
      <c r="B744" s="16"/>
      <c r="C744" s="8"/>
    </row>
    <row r="745">
      <c r="B745" s="16"/>
      <c r="C745" s="8"/>
    </row>
    <row r="746">
      <c r="B746" s="16"/>
      <c r="C746" s="8"/>
    </row>
    <row r="747">
      <c r="B747" s="16"/>
      <c r="C747" s="8"/>
    </row>
    <row r="748">
      <c r="B748" s="16"/>
      <c r="C748" s="8"/>
    </row>
    <row r="749">
      <c r="B749" s="16"/>
      <c r="C749" s="8"/>
    </row>
    <row r="750">
      <c r="B750" s="16"/>
      <c r="C750" s="8"/>
    </row>
    <row r="751">
      <c r="B751" s="16"/>
      <c r="C751" s="8"/>
    </row>
    <row r="752">
      <c r="B752" s="16"/>
      <c r="C752" s="8"/>
    </row>
    <row r="753">
      <c r="B753" s="16"/>
      <c r="C753" s="8"/>
    </row>
    <row r="754">
      <c r="B754" s="16"/>
      <c r="C754" s="8"/>
    </row>
    <row r="755">
      <c r="B755" s="16"/>
      <c r="C755" s="8"/>
    </row>
    <row r="756">
      <c r="B756" s="16"/>
      <c r="C756" s="8"/>
    </row>
    <row r="757">
      <c r="B757" s="16"/>
      <c r="C757" s="8"/>
    </row>
    <row r="758">
      <c r="B758" s="16"/>
      <c r="C758" s="8"/>
    </row>
    <row r="759">
      <c r="B759" s="16"/>
      <c r="C759" s="8"/>
    </row>
    <row r="760">
      <c r="B760" s="16"/>
      <c r="C760" s="8"/>
    </row>
    <row r="761">
      <c r="B761" s="16"/>
      <c r="C761" s="8"/>
    </row>
    <row r="762">
      <c r="B762" s="16"/>
      <c r="C762" s="8"/>
    </row>
    <row r="763">
      <c r="B763" s="16"/>
      <c r="C763" s="8"/>
    </row>
    <row r="764">
      <c r="B764" s="16"/>
      <c r="C764" s="8"/>
    </row>
    <row r="765">
      <c r="B765" s="16"/>
      <c r="C765" s="8"/>
    </row>
    <row r="766">
      <c r="B766" s="16"/>
      <c r="C766" s="8"/>
    </row>
    <row r="767">
      <c r="B767" s="16"/>
      <c r="C767" s="8"/>
    </row>
    <row r="768">
      <c r="B768" s="16"/>
      <c r="C768" s="8"/>
    </row>
    <row r="769">
      <c r="B769" s="16"/>
      <c r="C769" s="8"/>
    </row>
    <row r="770">
      <c r="B770" s="16"/>
      <c r="C770" s="8"/>
    </row>
    <row r="771">
      <c r="B771" s="16"/>
      <c r="C771" s="8"/>
    </row>
    <row r="772">
      <c r="B772" s="16"/>
      <c r="C772" s="8"/>
    </row>
    <row r="773">
      <c r="B773" s="16"/>
      <c r="C773" s="8"/>
    </row>
    <row r="774">
      <c r="B774" s="16"/>
      <c r="C774" s="8"/>
    </row>
    <row r="775">
      <c r="B775" s="16"/>
      <c r="C775" s="8"/>
    </row>
    <row r="776">
      <c r="B776" s="16"/>
      <c r="C776" s="8"/>
    </row>
    <row r="777">
      <c r="B777" s="16"/>
      <c r="C777" s="8"/>
    </row>
    <row r="778">
      <c r="B778" s="16"/>
      <c r="C778" s="8"/>
    </row>
    <row r="779">
      <c r="B779" s="16"/>
      <c r="C779" s="8"/>
    </row>
    <row r="780">
      <c r="B780" s="16"/>
      <c r="C780" s="8"/>
    </row>
    <row r="781">
      <c r="B781" s="16"/>
      <c r="C781" s="8"/>
    </row>
    <row r="782">
      <c r="B782" s="16"/>
      <c r="C782" s="8"/>
    </row>
    <row r="783">
      <c r="B783" s="16"/>
      <c r="C783" s="8"/>
    </row>
    <row r="784">
      <c r="B784" s="16"/>
      <c r="C784" s="8"/>
    </row>
    <row r="785">
      <c r="B785" s="16"/>
      <c r="C785" s="8"/>
    </row>
    <row r="786">
      <c r="B786" s="16"/>
      <c r="C786" s="8"/>
    </row>
    <row r="787">
      <c r="B787" s="16"/>
      <c r="C787" s="8"/>
    </row>
    <row r="788">
      <c r="B788" s="16"/>
      <c r="C788" s="8"/>
    </row>
    <row r="789">
      <c r="B789" s="16"/>
      <c r="C789" s="8"/>
    </row>
    <row r="790">
      <c r="B790" s="16"/>
      <c r="C790" s="8"/>
    </row>
    <row r="791">
      <c r="B791" s="16"/>
      <c r="C791" s="8"/>
    </row>
    <row r="792">
      <c r="B792" s="16"/>
      <c r="C792" s="8"/>
    </row>
    <row r="793">
      <c r="B793" s="16"/>
      <c r="C793" s="8"/>
    </row>
    <row r="794">
      <c r="B794" s="16"/>
      <c r="C794" s="8"/>
    </row>
    <row r="795">
      <c r="B795" s="16"/>
      <c r="C795" s="8"/>
    </row>
    <row r="796">
      <c r="B796" s="16"/>
      <c r="C796" s="8"/>
    </row>
    <row r="797">
      <c r="B797" s="16"/>
      <c r="C797" s="8"/>
    </row>
    <row r="798">
      <c r="B798" s="16"/>
      <c r="C798" s="8"/>
    </row>
    <row r="799">
      <c r="B799" s="16"/>
      <c r="C799" s="8"/>
    </row>
    <row r="800">
      <c r="B800" s="16"/>
      <c r="C800" s="8"/>
    </row>
    <row r="801">
      <c r="B801" s="16"/>
      <c r="C801" s="8"/>
    </row>
    <row r="802">
      <c r="B802" s="16"/>
      <c r="C802" s="8"/>
    </row>
    <row r="803">
      <c r="B803" s="16"/>
      <c r="C803" s="8"/>
    </row>
    <row r="804">
      <c r="B804" s="16"/>
      <c r="C804" s="8"/>
    </row>
    <row r="805">
      <c r="B805" s="16"/>
      <c r="C805" s="8"/>
    </row>
    <row r="806">
      <c r="B806" s="16"/>
      <c r="C806" s="8"/>
    </row>
    <row r="807">
      <c r="B807" s="16"/>
      <c r="C807" s="8"/>
    </row>
    <row r="808">
      <c r="B808" s="16"/>
      <c r="C808" s="8"/>
    </row>
    <row r="809">
      <c r="B809" s="16"/>
      <c r="C809" s="8"/>
    </row>
    <row r="810">
      <c r="B810" s="16"/>
      <c r="C810" s="8"/>
    </row>
    <row r="811">
      <c r="B811" s="16"/>
      <c r="C811" s="8"/>
    </row>
    <row r="812">
      <c r="B812" s="16"/>
      <c r="C812" s="8"/>
    </row>
    <row r="813">
      <c r="B813" s="16"/>
      <c r="C813" s="8"/>
    </row>
    <row r="814">
      <c r="B814" s="16"/>
      <c r="C814" s="8"/>
    </row>
    <row r="815">
      <c r="B815" s="16"/>
      <c r="C815" s="8"/>
    </row>
    <row r="816">
      <c r="B816" s="16"/>
      <c r="C816" s="8"/>
    </row>
    <row r="817">
      <c r="B817" s="16"/>
      <c r="C817" s="8"/>
    </row>
    <row r="818">
      <c r="B818" s="16"/>
      <c r="C818" s="8"/>
    </row>
    <row r="819">
      <c r="B819" s="16"/>
      <c r="C819" s="8"/>
    </row>
    <row r="820">
      <c r="B820" s="16"/>
      <c r="C820" s="8"/>
    </row>
    <row r="821">
      <c r="B821" s="16"/>
      <c r="C821" s="8"/>
    </row>
    <row r="822">
      <c r="B822" s="16"/>
      <c r="C822" s="8"/>
    </row>
    <row r="823">
      <c r="B823" s="16"/>
      <c r="C823" s="8"/>
    </row>
    <row r="824">
      <c r="B824" s="16"/>
      <c r="C824" s="8"/>
    </row>
    <row r="825">
      <c r="B825" s="16"/>
      <c r="C825" s="8"/>
    </row>
    <row r="826">
      <c r="B826" s="16"/>
      <c r="C826" s="8"/>
    </row>
    <row r="827">
      <c r="B827" s="16"/>
      <c r="C827" s="8"/>
    </row>
    <row r="828">
      <c r="B828" s="16"/>
      <c r="C828" s="8"/>
    </row>
    <row r="829">
      <c r="B829" s="16"/>
      <c r="C829" s="8"/>
    </row>
    <row r="830">
      <c r="B830" s="16"/>
      <c r="C830" s="8"/>
    </row>
    <row r="831">
      <c r="B831" s="16"/>
      <c r="C831" s="8"/>
    </row>
    <row r="832">
      <c r="B832" s="16"/>
      <c r="C832" s="8"/>
    </row>
    <row r="833">
      <c r="B833" s="16"/>
      <c r="C833" s="8"/>
    </row>
    <row r="834">
      <c r="B834" s="16"/>
      <c r="C834" s="8"/>
    </row>
    <row r="835">
      <c r="B835" s="16"/>
      <c r="C835" s="8"/>
    </row>
    <row r="836">
      <c r="B836" s="16"/>
      <c r="C836" s="8"/>
    </row>
    <row r="837">
      <c r="B837" s="16"/>
      <c r="C837" s="8"/>
    </row>
    <row r="838">
      <c r="B838" s="16"/>
      <c r="C838" s="8"/>
    </row>
    <row r="839">
      <c r="B839" s="16"/>
      <c r="C839" s="8"/>
    </row>
    <row r="840">
      <c r="B840" s="16"/>
      <c r="C840" s="8"/>
    </row>
    <row r="841">
      <c r="B841" s="16"/>
      <c r="C841" s="8"/>
    </row>
    <row r="842">
      <c r="B842" s="16"/>
      <c r="C842" s="8"/>
    </row>
    <row r="843">
      <c r="B843" s="16"/>
      <c r="C843" s="8"/>
    </row>
    <row r="844">
      <c r="B844" s="16"/>
      <c r="C844" s="8"/>
    </row>
    <row r="845">
      <c r="B845" s="16"/>
      <c r="C845" s="8"/>
    </row>
    <row r="846">
      <c r="B846" s="16"/>
      <c r="C846" s="8"/>
    </row>
    <row r="847">
      <c r="B847" s="16"/>
      <c r="C847" s="8"/>
    </row>
    <row r="848">
      <c r="B848" s="16"/>
      <c r="C848" s="8"/>
    </row>
    <row r="849">
      <c r="B849" s="16"/>
      <c r="C849" s="8"/>
    </row>
    <row r="850">
      <c r="B850" s="16"/>
      <c r="C850" s="8"/>
    </row>
    <row r="851">
      <c r="B851" s="16"/>
      <c r="C851" s="8"/>
    </row>
    <row r="852">
      <c r="B852" s="16"/>
      <c r="C852" s="8"/>
    </row>
    <row r="853">
      <c r="B853" s="16"/>
      <c r="C853" s="8"/>
    </row>
    <row r="854">
      <c r="B854" s="16"/>
      <c r="C854" s="8"/>
    </row>
    <row r="855">
      <c r="B855" s="16"/>
      <c r="C855" s="8"/>
    </row>
    <row r="856">
      <c r="B856" s="16"/>
      <c r="C856" s="8"/>
    </row>
    <row r="857">
      <c r="B857" s="16"/>
      <c r="C857" s="8"/>
    </row>
    <row r="858">
      <c r="B858" s="16"/>
      <c r="C858" s="8"/>
    </row>
    <row r="859">
      <c r="B859" s="16"/>
      <c r="C859" s="8"/>
    </row>
    <row r="860">
      <c r="B860" s="16"/>
      <c r="C860" s="8"/>
    </row>
    <row r="861">
      <c r="B861" s="16"/>
      <c r="C861" s="8"/>
    </row>
    <row r="862">
      <c r="B862" s="16"/>
      <c r="C862" s="8"/>
    </row>
    <row r="863">
      <c r="B863" s="16"/>
      <c r="C863" s="8"/>
    </row>
    <row r="864">
      <c r="B864" s="16"/>
      <c r="C864" s="8"/>
    </row>
    <row r="865">
      <c r="B865" s="16"/>
      <c r="C865" s="8"/>
    </row>
    <row r="866">
      <c r="B866" s="16"/>
      <c r="C866" s="8"/>
    </row>
    <row r="867">
      <c r="B867" s="16"/>
      <c r="C867" s="8"/>
    </row>
    <row r="868">
      <c r="B868" s="16"/>
      <c r="C868" s="8"/>
    </row>
    <row r="869">
      <c r="B869" s="16"/>
      <c r="C869" s="8"/>
    </row>
    <row r="870">
      <c r="B870" s="16"/>
      <c r="C870" s="8"/>
    </row>
    <row r="871">
      <c r="B871" s="16"/>
      <c r="C871" s="8"/>
    </row>
    <row r="872">
      <c r="B872" s="16"/>
      <c r="C872" s="8"/>
    </row>
    <row r="873">
      <c r="B873" s="16"/>
      <c r="C873" s="8"/>
    </row>
    <row r="874">
      <c r="B874" s="16"/>
      <c r="C874" s="8"/>
    </row>
    <row r="875">
      <c r="B875" s="16"/>
      <c r="C875" s="8"/>
    </row>
    <row r="876">
      <c r="B876" s="16"/>
      <c r="C876" s="8"/>
    </row>
    <row r="877">
      <c r="B877" s="16"/>
      <c r="C877" s="8"/>
    </row>
    <row r="878">
      <c r="B878" s="16"/>
      <c r="C878" s="8"/>
    </row>
    <row r="879">
      <c r="B879" s="16"/>
      <c r="C879" s="8"/>
    </row>
    <row r="880">
      <c r="B880" s="16"/>
      <c r="C880" s="8"/>
    </row>
    <row r="881">
      <c r="B881" s="16"/>
      <c r="C881" s="8"/>
    </row>
    <row r="882">
      <c r="B882" s="16"/>
      <c r="C882" s="8"/>
    </row>
    <row r="883">
      <c r="B883" s="16"/>
      <c r="C883" s="8"/>
    </row>
    <row r="884">
      <c r="B884" s="16"/>
      <c r="C884" s="8"/>
    </row>
    <row r="885">
      <c r="B885" s="16"/>
      <c r="C885" s="8"/>
    </row>
    <row r="886">
      <c r="B886" s="16"/>
      <c r="C886" s="8"/>
    </row>
    <row r="887">
      <c r="B887" s="16"/>
      <c r="C887" s="8"/>
    </row>
    <row r="888">
      <c r="B888" s="16"/>
      <c r="C888" s="8"/>
    </row>
    <row r="889">
      <c r="B889" s="16"/>
      <c r="C889" s="8"/>
    </row>
    <row r="890">
      <c r="B890" s="16"/>
      <c r="C890" s="8"/>
    </row>
    <row r="891">
      <c r="B891" s="16"/>
      <c r="C891" s="8"/>
    </row>
    <row r="892">
      <c r="B892" s="16"/>
      <c r="C892" s="8"/>
    </row>
    <row r="893">
      <c r="B893" s="16"/>
      <c r="C893" s="8"/>
    </row>
    <row r="894">
      <c r="B894" s="16"/>
      <c r="C894" s="8"/>
    </row>
    <row r="895">
      <c r="B895" s="16"/>
      <c r="C895" s="8"/>
    </row>
    <row r="896">
      <c r="B896" s="16"/>
      <c r="C896" s="8"/>
    </row>
    <row r="897">
      <c r="B897" s="16"/>
      <c r="C897" s="8"/>
    </row>
    <row r="898">
      <c r="B898" s="16"/>
      <c r="C898" s="8"/>
    </row>
    <row r="899">
      <c r="B899" s="16"/>
      <c r="C899" s="8"/>
    </row>
    <row r="900">
      <c r="B900" s="16"/>
      <c r="C900" s="8"/>
    </row>
    <row r="901">
      <c r="B901" s="16"/>
      <c r="C901" s="8"/>
    </row>
    <row r="902">
      <c r="B902" s="16"/>
      <c r="C902" s="8"/>
    </row>
    <row r="903">
      <c r="B903" s="16"/>
      <c r="C903" s="8"/>
    </row>
    <row r="904">
      <c r="B904" s="16"/>
      <c r="C904" s="8"/>
    </row>
    <row r="905">
      <c r="B905" s="16"/>
      <c r="C905" s="8"/>
    </row>
    <row r="906">
      <c r="B906" s="16"/>
      <c r="C906" s="8"/>
    </row>
    <row r="907">
      <c r="B907" s="16"/>
      <c r="C907" s="8"/>
    </row>
    <row r="908">
      <c r="B908" s="16"/>
      <c r="C908" s="8"/>
    </row>
    <row r="909">
      <c r="B909" s="16"/>
      <c r="C909" s="8"/>
    </row>
    <row r="910">
      <c r="B910" s="16"/>
      <c r="C910" s="8"/>
    </row>
    <row r="911">
      <c r="B911" s="16"/>
      <c r="C911" s="8"/>
    </row>
    <row r="912">
      <c r="B912" s="16"/>
      <c r="C912" s="8"/>
    </row>
    <row r="913">
      <c r="B913" s="16"/>
      <c r="C913" s="8"/>
    </row>
    <row r="914">
      <c r="B914" s="16"/>
      <c r="C914" s="8"/>
    </row>
    <row r="915">
      <c r="B915" s="16"/>
      <c r="C915" s="8"/>
    </row>
    <row r="916">
      <c r="B916" s="16"/>
      <c r="C916" s="8"/>
    </row>
    <row r="917">
      <c r="B917" s="16"/>
      <c r="C917" s="8"/>
    </row>
    <row r="918">
      <c r="B918" s="16"/>
      <c r="C918" s="8"/>
    </row>
    <row r="919">
      <c r="B919" s="16"/>
      <c r="C919" s="8"/>
    </row>
    <row r="920">
      <c r="B920" s="16"/>
      <c r="C920" s="8"/>
    </row>
    <row r="921">
      <c r="B921" s="16"/>
      <c r="C921" s="8"/>
    </row>
    <row r="922">
      <c r="B922" s="16"/>
      <c r="C922" s="8"/>
    </row>
    <row r="923">
      <c r="B923" s="16"/>
      <c r="C923" s="8"/>
    </row>
    <row r="924">
      <c r="B924" s="16"/>
      <c r="C924" s="8"/>
    </row>
    <row r="925">
      <c r="B925" s="16"/>
      <c r="C925" s="8"/>
    </row>
    <row r="926">
      <c r="B926" s="16"/>
      <c r="C926" s="8"/>
    </row>
    <row r="927">
      <c r="B927" s="16"/>
      <c r="C927" s="8"/>
    </row>
    <row r="928">
      <c r="B928" s="16"/>
      <c r="C928" s="8"/>
    </row>
    <row r="929">
      <c r="B929" s="16"/>
      <c r="C929" s="8"/>
    </row>
    <row r="930">
      <c r="B930" s="16"/>
      <c r="C930" s="8"/>
    </row>
    <row r="931">
      <c r="B931" s="16"/>
      <c r="C931" s="8"/>
    </row>
    <row r="932">
      <c r="B932" s="16"/>
      <c r="C932" s="8"/>
    </row>
    <row r="933">
      <c r="B933" s="16"/>
      <c r="C933" s="8"/>
    </row>
    <row r="934">
      <c r="B934" s="16"/>
      <c r="C934" s="8"/>
    </row>
    <row r="935">
      <c r="B935" s="16"/>
      <c r="C935" s="8"/>
    </row>
    <row r="936">
      <c r="B936" s="16"/>
      <c r="C936" s="8"/>
    </row>
    <row r="937">
      <c r="B937" s="16"/>
      <c r="C937" s="8"/>
    </row>
    <row r="938">
      <c r="B938" s="16"/>
      <c r="C938" s="8"/>
    </row>
    <row r="939">
      <c r="B939" s="16"/>
      <c r="C939" s="8"/>
    </row>
    <row r="940">
      <c r="B940" s="16"/>
      <c r="C940" s="8"/>
    </row>
    <row r="941">
      <c r="B941" s="16"/>
      <c r="C941" s="8"/>
    </row>
    <row r="942">
      <c r="B942" s="16"/>
      <c r="C942" s="8"/>
    </row>
    <row r="943">
      <c r="B943" s="16"/>
      <c r="C943" s="8"/>
    </row>
    <row r="944">
      <c r="B944" s="16"/>
      <c r="C944" s="8"/>
    </row>
    <row r="945">
      <c r="B945" s="16"/>
      <c r="C945" s="8"/>
    </row>
    <row r="946">
      <c r="B946" s="16"/>
      <c r="C946" s="8"/>
    </row>
    <row r="947">
      <c r="B947" s="16"/>
      <c r="C947" s="8"/>
    </row>
    <row r="948">
      <c r="B948" s="16"/>
      <c r="C948" s="8"/>
    </row>
    <row r="949">
      <c r="B949" s="16"/>
      <c r="C949" s="8"/>
    </row>
    <row r="950">
      <c r="B950" s="16"/>
      <c r="C950" s="8"/>
    </row>
    <row r="951">
      <c r="B951" s="16"/>
      <c r="C951" s="8"/>
    </row>
    <row r="952">
      <c r="B952" s="16"/>
      <c r="C952" s="8"/>
    </row>
    <row r="953">
      <c r="B953" s="16"/>
      <c r="C953" s="8"/>
    </row>
    <row r="954">
      <c r="B954" s="16"/>
      <c r="C954" s="8"/>
    </row>
    <row r="955">
      <c r="B955" s="16"/>
      <c r="C955" s="8"/>
    </row>
    <row r="956">
      <c r="B956" s="16"/>
      <c r="C956" s="8"/>
    </row>
    <row r="957">
      <c r="B957" s="16"/>
      <c r="C957" s="8"/>
    </row>
    <row r="958">
      <c r="B958" s="16"/>
      <c r="C958" s="8"/>
    </row>
    <row r="959">
      <c r="B959" s="16"/>
      <c r="C959" s="8"/>
    </row>
    <row r="960">
      <c r="B960" s="16"/>
      <c r="C960" s="8"/>
    </row>
    <row r="961">
      <c r="B961" s="16"/>
      <c r="C961" s="8"/>
    </row>
    <row r="962">
      <c r="B962" s="16"/>
      <c r="C962" s="8"/>
    </row>
    <row r="963">
      <c r="B963" s="16"/>
      <c r="C963" s="8"/>
    </row>
    <row r="964">
      <c r="B964" s="16"/>
      <c r="C964" s="8"/>
    </row>
    <row r="965">
      <c r="B965" s="16"/>
      <c r="C965" s="8"/>
    </row>
    <row r="966">
      <c r="B966" s="16"/>
      <c r="C966" s="8"/>
    </row>
    <row r="967">
      <c r="B967" s="16"/>
      <c r="C967" s="8"/>
    </row>
    <row r="968">
      <c r="B968" s="16"/>
      <c r="C968" s="8"/>
    </row>
    <row r="969">
      <c r="B969" s="16"/>
      <c r="C969" s="8"/>
    </row>
    <row r="970">
      <c r="B970" s="16"/>
      <c r="C970" s="8"/>
    </row>
    <row r="971">
      <c r="B971" s="16"/>
      <c r="C971" s="8"/>
    </row>
    <row r="972">
      <c r="B972" s="16"/>
      <c r="C972" s="8"/>
    </row>
    <row r="973">
      <c r="B973" s="16"/>
      <c r="C973" s="8"/>
    </row>
    <row r="974">
      <c r="B974" s="16"/>
      <c r="C974" s="8"/>
    </row>
    <row r="975">
      <c r="B975" s="16"/>
      <c r="C975" s="8"/>
    </row>
    <row r="976">
      <c r="B976" s="16"/>
      <c r="C976" s="8"/>
    </row>
    <row r="977">
      <c r="B977" s="16"/>
      <c r="C977" s="8"/>
    </row>
    <row r="978">
      <c r="B978" s="16"/>
      <c r="C978" s="8"/>
    </row>
    <row r="979">
      <c r="B979" s="16"/>
      <c r="C979" s="8"/>
    </row>
    <row r="980">
      <c r="B980" s="16"/>
      <c r="C980" s="8"/>
    </row>
    <row r="981">
      <c r="B981" s="16"/>
      <c r="C981" s="8"/>
    </row>
    <row r="982">
      <c r="B982" s="16"/>
      <c r="C982" s="8"/>
    </row>
    <row r="983">
      <c r="B983" s="16"/>
      <c r="C983" s="8"/>
    </row>
    <row r="984">
      <c r="B984" s="16"/>
      <c r="C984" s="8"/>
    </row>
    <row r="985">
      <c r="B985" s="16"/>
      <c r="C985" s="8"/>
    </row>
    <row r="986">
      <c r="B986" s="16"/>
      <c r="C986" s="8"/>
    </row>
    <row r="987">
      <c r="B987" s="16"/>
      <c r="C987" s="8"/>
    </row>
    <row r="988">
      <c r="B988" s="16"/>
      <c r="C988" s="8"/>
    </row>
    <row r="989">
      <c r="B989" s="16"/>
      <c r="C989" s="8"/>
    </row>
    <row r="990">
      <c r="B990" s="16"/>
      <c r="C990" s="8"/>
    </row>
    <row r="991">
      <c r="B991" s="16"/>
      <c r="C991" s="8"/>
    </row>
    <row r="992">
      <c r="B992" s="16"/>
      <c r="C992" s="8"/>
    </row>
    <row r="993">
      <c r="B993" s="16"/>
      <c r="C993" s="8"/>
    </row>
    <row r="994">
      <c r="B994" s="16"/>
      <c r="C994" s="8"/>
    </row>
    <row r="995">
      <c r="B995" s="16"/>
      <c r="C995" s="8"/>
    </row>
    <row r="996">
      <c r="B996" s="16"/>
      <c r="C996" s="8"/>
    </row>
    <row r="997">
      <c r="B997" s="16"/>
      <c r="C997" s="8"/>
    </row>
    <row r="998">
      <c r="B998" s="16"/>
      <c r="C998" s="8"/>
    </row>
    <row r="999">
      <c r="B999" s="16"/>
      <c r="C999" s="8"/>
    </row>
    <row r="1000">
      <c r="B1000" s="16"/>
      <c r="C1000" s="8"/>
    </row>
    <row r="1001">
      <c r="B1001" s="16"/>
      <c r="C1001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28</v>
      </c>
      <c r="C1" s="8"/>
      <c r="D1" s="17"/>
      <c r="E1" s="1">
        <v>2014.0</v>
      </c>
      <c r="F1" s="1">
        <v>2015.0</v>
      </c>
      <c r="G1" s="1">
        <v>2016.0</v>
      </c>
      <c r="H1" s="1">
        <v>2017.0</v>
      </c>
      <c r="I1" s="1">
        <v>2018.0</v>
      </c>
      <c r="J1" s="1">
        <v>2019.0</v>
      </c>
      <c r="K1" s="1">
        <v>2020.0</v>
      </c>
      <c r="L1" s="1">
        <v>2021.0</v>
      </c>
      <c r="M1" s="1">
        <v>2022.0</v>
      </c>
      <c r="N1" s="1">
        <v>2023.0</v>
      </c>
      <c r="O1" s="1">
        <v>2024.0</v>
      </c>
    </row>
    <row r="2">
      <c r="A2" s="2">
        <v>41640.0</v>
      </c>
      <c r="B2" s="18">
        <f>IFERROR(__xludf.DUMMYFUNCTION("FLATTEN({E14:E17; F14:F17; G14:G17; H14:H17; I14:I17; J14:J17; K14:K17; L14:L17; M14:M17; N14:N17; O14:O17})"),7.5)</f>
        <v>7.5</v>
      </c>
      <c r="C2" s="19"/>
      <c r="D2" s="15" t="s">
        <v>9</v>
      </c>
      <c r="E2" s="20"/>
      <c r="F2" s="20"/>
      <c r="G2" s="20"/>
      <c r="H2" s="20"/>
      <c r="I2" s="20"/>
      <c r="J2" s="20"/>
      <c r="K2" s="20"/>
      <c r="L2" s="20">
        <v>8.8</v>
      </c>
      <c r="M2" s="20">
        <v>6.4</v>
      </c>
      <c r="N2" s="20">
        <v>4.8</v>
      </c>
      <c r="O2" s="20">
        <v>4.5</v>
      </c>
    </row>
    <row r="3">
      <c r="A3" s="2">
        <v>41730.0</v>
      </c>
      <c r="B3" s="18">
        <f>IFERROR(__xludf.DUMMYFUNCTION("""COMPUTED_VALUE"""),7.0)</f>
        <v>7</v>
      </c>
      <c r="C3" s="8"/>
      <c r="D3" s="17" t="s">
        <v>10</v>
      </c>
      <c r="E3" s="20"/>
      <c r="F3" s="20"/>
      <c r="G3" s="20"/>
      <c r="H3" s="20"/>
      <c r="I3" s="20"/>
      <c r="J3" s="20"/>
      <c r="K3" s="20"/>
      <c r="L3" s="20">
        <v>8.8</v>
      </c>
      <c r="M3" s="20">
        <v>6.4</v>
      </c>
      <c r="N3" s="20">
        <v>4.8</v>
      </c>
      <c r="O3" s="20">
        <v>3.5</v>
      </c>
    </row>
    <row r="4">
      <c r="A4" s="2">
        <v>41821.0</v>
      </c>
      <c r="B4" s="18">
        <f>IFERROR(__xludf.DUMMYFUNCTION("""COMPUTED_VALUE"""),6.7)</f>
        <v>6.7</v>
      </c>
      <c r="C4" s="19"/>
      <c r="D4" s="15" t="s">
        <v>11</v>
      </c>
      <c r="E4" s="20"/>
      <c r="F4" s="20"/>
      <c r="G4" s="20"/>
      <c r="H4" s="20"/>
      <c r="I4" s="20"/>
      <c r="J4" s="20"/>
      <c r="K4" s="20"/>
      <c r="L4" s="20">
        <v>7.1</v>
      </c>
      <c r="M4" s="20">
        <v>5.8</v>
      </c>
      <c r="N4" s="20">
        <v>4.7</v>
      </c>
      <c r="O4" s="20">
        <v>3.9</v>
      </c>
    </row>
    <row r="5">
      <c r="A5" s="2">
        <v>41913.0</v>
      </c>
      <c r="B5" s="18">
        <f>IFERROR(__xludf.DUMMYFUNCTION("""COMPUTED_VALUE"""),6.0)</f>
        <v>6</v>
      </c>
      <c r="C5" s="19"/>
      <c r="D5" s="17" t="s">
        <v>12</v>
      </c>
      <c r="E5" s="20"/>
      <c r="F5" s="20"/>
      <c r="G5" s="20"/>
      <c r="H5" s="20"/>
      <c r="I5" s="20"/>
      <c r="J5" s="20"/>
      <c r="K5" s="20"/>
      <c r="L5" s="20">
        <v>8.7</v>
      </c>
      <c r="M5" s="20">
        <v>5.7</v>
      </c>
      <c r="N5" s="20">
        <v>4.5</v>
      </c>
      <c r="O5" s="20">
        <v>4.0</v>
      </c>
    </row>
    <row r="6">
      <c r="A6" s="2">
        <v>42005.0</v>
      </c>
      <c r="B6" s="18">
        <f>IFERROR(__xludf.DUMMYFUNCTION("""COMPUTED_VALUE"""),6.6)</f>
        <v>6.6</v>
      </c>
      <c r="C6" s="19"/>
      <c r="D6" s="15" t="s">
        <v>13</v>
      </c>
      <c r="E6" s="20"/>
      <c r="F6" s="20"/>
      <c r="G6" s="20"/>
      <c r="H6" s="20"/>
      <c r="I6" s="20"/>
      <c r="J6" s="20"/>
      <c r="K6" s="20"/>
      <c r="L6" s="20">
        <v>7.7</v>
      </c>
      <c r="M6" s="20">
        <v>6.0</v>
      </c>
      <c r="N6" s="20">
        <v>4.3</v>
      </c>
      <c r="O6" s="20">
        <v>4.1</v>
      </c>
    </row>
    <row r="7">
      <c r="A7" s="2">
        <v>42095.0</v>
      </c>
      <c r="B7" s="18">
        <f>IFERROR(__xludf.DUMMYFUNCTION("""COMPUTED_VALUE"""),6.4)</f>
        <v>6.4</v>
      </c>
      <c r="C7" s="8"/>
      <c r="D7" s="17" t="s">
        <v>14</v>
      </c>
      <c r="E7" s="20"/>
      <c r="F7" s="20"/>
      <c r="G7" s="20"/>
      <c r="H7" s="20"/>
      <c r="I7" s="20"/>
      <c r="J7" s="20"/>
      <c r="K7" s="20"/>
      <c r="L7" s="20">
        <v>7.7</v>
      </c>
      <c r="M7" s="20">
        <v>6.0</v>
      </c>
      <c r="N7" s="20">
        <v>4.5</v>
      </c>
      <c r="O7" s="20">
        <v>3.1</v>
      </c>
    </row>
    <row r="8">
      <c r="A8" s="2">
        <v>42186.0</v>
      </c>
      <c r="B8" s="18">
        <f>IFERROR(__xludf.DUMMYFUNCTION("""COMPUTED_VALUE"""),6.5)</f>
        <v>6.5</v>
      </c>
      <c r="C8" s="19"/>
      <c r="D8" s="15" t="s">
        <v>15</v>
      </c>
      <c r="E8" s="20"/>
      <c r="F8" s="20"/>
      <c r="G8" s="20"/>
      <c r="H8" s="20"/>
      <c r="I8" s="20"/>
      <c r="J8" s="20"/>
      <c r="K8" s="20"/>
      <c r="L8" s="20">
        <v>7.2</v>
      </c>
      <c r="M8" s="20">
        <v>5.2</v>
      </c>
      <c r="N8" s="20">
        <v>4.9</v>
      </c>
      <c r="O8" s="20">
        <v>4.7</v>
      </c>
    </row>
    <row r="9">
      <c r="A9" s="2">
        <v>42278.0</v>
      </c>
      <c r="B9" s="18">
        <f>IFERROR(__xludf.DUMMYFUNCTION("""COMPUTED_VALUE"""),5.7)</f>
        <v>5.7</v>
      </c>
      <c r="C9" s="8"/>
      <c r="D9" s="17" t="s">
        <v>16</v>
      </c>
      <c r="E9" s="20"/>
      <c r="F9" s="20"/>
      <c r="G9" s="20"/>
      <c r="H9" s="20"/>
      <c r="I9" s="20"/>
      <c r="J9" s="20"/>
      <c r="K9" s="20"/>
      <c r="L9" s="20">
        <v>8.1</v>
      </c>
      <c r="M9" s="20">
        <v>5.3</v>
      </c>
      <c r="N9" s="20">
        <v>4.4</v>
      </c>
      <c r="O9" s="20">
        <v>4.0</v>
      </c>
    </row>
    <row r="10">
      <c r="A10" s="2">
        <v>42370.0</v>
      </c>
      <c r="B10" s="18">
        <f>IFERROR(__xludf.DUMMYFUNCTION("""COMPUTED_VALUE"""),5.8)</f>
        <v>5.8</v>
      </c>
      <c r="C10" s="19"/>
      <c r="D10" s="15" t="s">
        <v>17</v>
      </c>
      <c r="E10" s="20"/>
      <c r="F10" s="20"/>
      <c r="G10" s="20"/>
      <c r="H10" s="20"/>
      <c r="I10" s="20"/>
      <c r="J10" s="20"/>
      <c r="K10" s="20"/>
      <c r="L10" s="20">
        <v>8.9</v>
      </c>
      <c r="M10" s="20">
        <v>5.0</v>
      </c>
      <c r="N10" s="20">
        <v>4.5</v>
      </c>
      <c r="O10" s="20">
        <v>3.7</v>
      </c>
    </row>
    <row r="11">
      <c r="A11" s="2">
        <v>42461.0</v>
      </c>
      <c r="B11" s="18">
        <f>IFERROR(__xludf.DUMMYFUNCTION("""COMPUTED_VALUE"""),6.1)</f>
        <v>6.1</v>
      </c>
      <c r="C11" s="8"/>
      <c r="D11" s="17" t="s">
        <v>18</v>
      </c>
      <c r="E11" s="20"/>
      <c r="F11" s="20"/>
      <c r="G11" s="20"/>
      <c r="H11" s="20"/>
      <c r="I11" s="20"/>
      <c r="J11" s="20"/>
      <c r="K11" s="20"/>
      <c r="L11" s="20">
        <v>7.4</v>
      </c>
      <c r="M11" s="20">
        <v>4.5</v>
      </c>
      <c r="N11" s="20">
        <v>4.2</v>
      </c>
      <c r="O11" s="20">
        <v>3.9</v>
      </c>
    </row>
    <row r="12">
      <c r="A12" s="2">
        <v>42552.0</v>
      </c>
      <c r="B12" s="18">
        <f>IFERROR(__xludf.DUMMYFUNCTION("""COMPUTED_VALUE"""),5.4)</f>
        <v>5.4</v>
      </c>
      <c r="C12" s="19"/>
      <c r="D12" s="15" t="s">
        <v>19</v>
      </c>
      <c r="E12" s="20"/>
      <c r="F12" s="20"/>
      <c r="G12" s="20"/>
      <c r="H12" s="20"/>
      <c r="I12" s="20"/>
      <c r="J12" s="20"/>
      <c r="K12" s="20"/>
      <c r="L12" s="20">
        <v>6.5</v>
      </c>
      <c r="M12" s="20">
        <v>4.2</v>
      </c>
      <c r="N12" s="20">
        <v>3.6</v>
      </c>
      <c r="O12" s="20">
        <v>3.2</v>
      </c>
    </row>
    <row r="13">
      <c r="A13" s="2">
        <v>42644.0</v>
      </c>
      <c r="B13" s="18">
        <f>IFERROR(__xludf.DUMMYFUNCTION("""COMPUTED_VALUE"""),4.7)</f>
        <v>4.7</v>
      </c>
      <c r="C13" s="8"/>
      <c r="D13" s="17" t="s">
        <v>20</v>
      </c>
      <c r="E13" s="20"/>
      <c r="F13" s="20"/>
      <c r="G13" s="20"/>
      <c r="H13" s="20"/>
      <c r="I13" s="20"/>
      <c r="J13" s="20"/>
      <c r="K13" s="20"/>
      <c r="L13" s="20">
        <v>6.6</v>
      </c>
      <c r="M13" s="20">
        <v>4.3</v>
      </c>
      <c r="N13" s="20">
        <v>3.1</v>
      </c>
      <c r="O13" s="20">
        <v>3.1</v>
      </c>
    </row>
    <row r="14">
      <c r="A14" s="2">
        <v>42736.0</v>
      </c>
      <c r="B14" s="18">
        <f>IFERROR(__xludf.DUMMYFUNCTION("""COMPUTED_VALUE"""),6.6)</f>
        <v>6.6</v>
      </c>
      <c r="C14" s="10"/>
      <c r="D14" s="21" t="s">
        <v>22</v>
      </c>
      <c r="E14" s="25">
        <v>7.5</v>
      </c>
      <c r="F14" s="25">
        <v>6.6</v>
      </c>
      <c r="G14" s="25">
        <v>5.8</v>
      </c>
      <c r="H14" s="25">
        <v>6.6</v>
      </c>
      <c r="I14" s="25">
        <v>5.3</v>
      </c>
      <c r="J14" s="25">
        <v>5.2</v>
      </c>
      <c r="K14" s="25">
        <v>5.3</v>
      </c>
      <c r="L14" s="22">
        <f t="shared" ref="L14:O14" si="1">AVERAGE(L2:L4)</f>
        <v>8.233333333</v>
      </c>
      <c r="M14" s="22">
        <f t="shared" si="1"/>
        <v>6.2</v>
      </c>
      <c r="N14" s="22">
        <f t="shared" si="1"/>
        <v>4.766666667</v>
      </c>
      <c r="O14" s="22">
        <f t="shared" si="1"/>
        <v>3.966666667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2">
        <v>42826.0</v>
      </c>
      <c r="B15" s="18">
        <f>IFERROR(__xludf.DUMMYFUNCTION("""COMPUTED_VALUE"""),5.7)</f>
        <v>5.7</v>
      </c>
      <c r="C15" s="14"/>
      <c r="D15" s="1" t="s">
        <v>23</v>
      </c>
      <c r="E15" s="25">
        <v>7.0</v>
      </c>
      <c r="F15" s="25">
        <v>6.4</v>
      </c>
      <c r="G15" s="25">
        <v>6.1</v>
      </c>
      <c r="H15" s="25">
        <v>5.7</v>
      </c>
      <c r="I15" s="25">
        <v>5.5</v>
      </c>
      <c r="J15" s="25">
        <v>5.1</v>
      </c>
      <c r="K15" s="25">
        <v>17.6</v>
      </c>
      <c r="L15" s="23">
        <f t="shared" ref="L15:O15" si="2">AVERAGE(L5:L7)</f>
        <v>8.033333333</v>
      </c>
      <c r="M15" s="23">
        <f t="shared" si="2"/>
        <v>5.9</v>
      </c>
      <c r="N15" s="23">
        <f t="shared" si="2"/>
        <v>4.433333333</v>
      </c>
      <c r="O15" s="23">
        <f t="shared" si="2"/>
        <v>3.733333333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2">
        <v>42917.0</v>
      </c>
      <c r="B16" s="18">
        <f>IFERROR(__xludf.DUMMYFUNCTION("""COMPUTED_VALUE"""),5.6)</f>
        <v>5.6</v>
      </c>
      <c r="C16" s="10"/>
      <c r="D16" s="21" t="s">
        <v>24</v>
      </c>
      <c r="E16" s="25">
        <v>6.7</v>
      </c>
      <c r="F16" s="25">
        <v>6.5</v>
      </c>
      <c r="G16" s="25">
        <v>5.4</v>
      </c>
      <c r="H16" s="25">
        <v>5.6</v>
      </c>
      <c r="I16" s="25">
        <v>5.4</v>
      </c>
      <c r="J16" s="25">
        <v>5.4</v>
      </c>
      <c r="K16" s="25">
        <v>10.0</v>
      </c>
      <c r="L16" s="22">
        <f t="shared" ref="L16:O16" si="3">AVERAGE(L8:L10)</f>
        <v>8.066666667</v>
      </c>
      <c r="M16" s="22">
        <f t="shared" si="3"/>
        <v>5.166666667</v>
      </c>
      <c r="N16" s="22">
        <f t="shared" si="3"/>
        <v>4.6</v>
      </c>
      <c r="O16" s="22">
        <f t="shared" si="3"/>
        <v>4.133333333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2">
        <v>43009.0</v>
      </c>
      <c r="B17" s="18">
        <f>IFERROR(__xludf.DUMMYFUNCTION("""COMPUTED_VALUE"""),5.0)</f>
        <v>5</v>
      </c>
      <c r="C17" s="14"/>
      <c r="D17" s="1" t="s">
        <v>25</v>
      </c>
      <c r="E17" s="25">
        <v>6.0</v>
      </c>
      <c r="F17" s="25">
        <v>5.7</v>
      </c>
      <c r="G17" s="25">
        <v>4.7</v>
      </c>
      <c r="H17" s="25">
        <v>5.0</v>
      </c>
      <c r="I17" s="25">
        <v>5.1</v>
      </c>
      <c r="J17" s="25">
        <v>4.5</v>
      </c>
      <c r="K17" s="25">
        <v>8.7</v>
      </c>
      <c r="L17" s="23">
        <f t="shared" ref="L17:O17" si="4">AVERAGE(L11:L13)</f>
        <v>6.833333333</v>
      </c>
      <c r="M17" s="23">
        <f t="shared" si="4"/>
        <v>4.333333333</v>
      </c>
      <c r="N17" s="23">
        <f t="shared" si="4"/>
        <v>3.633333333</v>
      </c>
      <c r="O17" s="23">
        <f t="shared" si="4"/>
        <v>3.4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2">
        <v>43101.0</v>
      </c>
      <c r="B18" s="18">
        <f>IFERROR(__xludf.DUMMYFUNCTION("""COMPUTED_VALUE"""),5.3)</f>
        <v>5.3</v>
      </c>
      <c r="C18" s="1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2">
        <v>43191.0</v>
      </c>
      <c r="B19" s="18">
        <f>IFERROR(__xludf.DUMMYFUNCTION("""COMPUTED_VALUE"""),5.5)</f>
        <v>5.5</v>
      </c>
      <c r="C19" s="8"/>
    </row>
    <row r="20">
      <c r="A20" s="2">
        <v>43282.0</v>
      </c>
      <c r="B20" s="18">
        <f>IFERROR(__xludf.DUMMYFUNCTION("""COMPUTED_VALUE"""),5.4)</f>
        <v>5.4</v>
      </c>
      <c r="C20" s="19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W20" s="15"/>
    </row>
    <row r="21">
      <c r="A21" s="2">
        <v>43374.0</v>
      </c>
      <c r="B21" s="18">
        <f>IFERROR(__xludf.DUMMYFUNCTION("""COMPUTED_VALUE"""),5.1)</f>
        <v>5.1</v>
      </c>
      <c r="C21" s="8"/>
    </row>
    <row r="22">
      <c r="A22" s="2">
        <v>43466.0</v>
      </c>
      <c r="B22" s="18">
        <f>IFERROR(__xludf.DUMMYFUNCTION("""COMPUTED_VALUE"""),5.2)</f>
        <v>5.2</v>
      </c>
      <c r="C22" s="19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>
      <c r="A23" s="2">
        <v>43556.0</v>
      </c>
      <c r="B23" s="18">
        <f>IFERROR(__xludf.DUMMYFUNCTION("""COMPUTED_VALUE"""),5.1)</f>
        <v>5.1</v>
      </c>
      <c r="C23" s="8"/>
    </row>
    <row r="24">
      <c r="A24" s="2">
        <v>43647.0</v>
      </c>
      <c r="B24" s="18">
        <f>IFERROR(__xludf.DUMMYFUNCTION("""COMPUTED_VALUE"""),5.4)</f>
        <v>5.4</v>
      </c>
      <c r="C24" s="8"/>
      <c r="D24" s="15"/>
    </row>
    <row r="25">
      <c r="A25" s="2">
        <v>43739.0</v>
      </c>
      <c r="B25" s="18">
        <f>IFERROR(__xludf.DUMMYFUNCTION("""COMPUTED_VALUE"""),4.5)</f>
        <v>4.5</v>
      </c>
      <c r="C25" s="8"/>
    </row>
    <row r="26">
      <c r="A26" s="2">
        <v>43831.0</v>
      </c>
      <c r="B26" s="18">
        <f>IFERROR(__xludf.DUMMYFUNCTION("""COMPUTED_VALUE"""),5.3)</f>
        <v>5.3</v>
      </c>
      <c r="C26" s="8"/>
    </row>
    <row r="27">
      <c r="A27" s="2">
        <v>43922.0</v>
      </c>
      <c r="B27" s="18">
        <f>IFERROR(__xludf.DUMMYFUNCTION("""COMPUTED_VALUE"""),17.6)</f>
        <v>17.6</v>
      </c>
      <c r="C27" s="8"/>
    </row>
    <row r="28">
      <c r="A28" s="2">
        <v>44013.0</v>
      </c>
      <c r="B28" s="18">
        <f>IFERROR(__xludf.DUMMYFUNCTION("""COMPUTED_VALUE"""),10.0)</f>
        <v>10</v>
      </c>
      <c r="C28" s="8"/>
    </row>
    <row r="29">
      <c r="A29" s="2">
        <v>44105.0</v>
      </c>
      <c r="B29" s="18">
        <f>IFERROR(__xludf.DUMMYFUNCTION("""COMPUTED_VALUE"""),8.7)</f>
        <v>8.7</v>
      </c>
      <c r="C29" s="8"/>
    </row>
    <row r="30">
      <c r="A30" s="2">
        <v>44197.0</v>
      </c>
      <c r="B30" s="18">
        <f>IFERROR(__xludf.DUMMYFUNCTION("""COMPUTED_VALUE"""),8.233333333333334)</f>
        <v>8.233333333</v>
      </c>
      <c r="C30" s="8"/>
    </row>
    <row r="31">
      <c r="A31" s="2">
        <v>44287.0</v>
      </c>
      <c r="B31" s="18">
        <f>IFERROR(__xludf.DUMMYFUNCTION("""COMPUTED_VALUE"""),8.033333333333333)</f>
        <v>8.033333333</v>
      </c>
      <c r="C31" s="8"/>
    </row>
    <row r="32">
      <c r="A32" s="2">
        <v>44378.0</v>
      </c>
      <c r="B32" s="18">
        <f>IFERROR(__xludf.DUMMYFUNCTION("""COMPUTED_VALUE"""),8.066666666666668)</f>
        <v>8.066666667</v>
      </c>
      <c r="C32" s="8"/>
    </row>
    <row r="33">
      <c r="A33" s="2">
        <v>44470.0</v>
      </c>
      <c r="B33" s="18">
        <f>IFERROR(__xludf.DUMMYFUNCTION("""COMPUTED_VALUE"""),6.833333333333333)</f>
        <v>6.833333333</v>
      </c>
      <c r="C33" s="8"/>
    </row>
    <row r="34">
      <c r="A34" s="2">
        <v>44562.0</v>
      </c>
      <c r="B34" s="18">
        <f>IFERROR(__xludf.DUMMYFUNCTION("""COMPUTED_VALUE"""),6.2)</f>
        <v>6.2</v>
      </c>
      <c r="C34" s="8"/>
    </row>
    <row r="35">
      <c r="A35" s="2">
        <v>44652.0</v>
      </c>
      <c r="B35" s="18">
        <f>IFERROR(__xludf.DUMMYFUNCTION("""COMPUTED_VALUE"""),5.8999999999999995)</f>
        <v>5.9</v>
      </c>
      <c r="C35" s="8"/>
    </row>
    <row r="36">
      <c r="A36" s="2">
        <v>44743.0</v>
      </c>
      <c r="B36" s="18">
        <f>IFERROR(__xludf.DUMMYFUNCTION("""COMPUTED_VALUE"""),5.166666666666667)</f>
        <v>5.166666667</v>
      </c>
      <c r="C36" s="8"/>
    </row>
    <row r="37">
      <c r="A37" s="2">
        <v>44835.0</v>
      </c>
      <c r="B37" s="18">
        <f>IFERROR(__xludf.DUMMYFUNCTION("""COMPUTED_VALUE"""),4.333333333333333)</f>
        <v>4.333333333</v>
      </c>
      <c r="C37" s="8"/>
    </row>
    <row r="38">
      <c r="A38" s="2">
        <v>44927.0</v>
      </c>
      <c r="B38" s="18">
        <f>IFERROR(__xludf.DUMMYFUNCTION("""COMPUTED_VALUE"""),4.766666666666667)</f>
        <v>4.766666667</v>
      </c>
      <c r="C38" s="8"/>
    </row>
    <row r="39">
      <c r="A39" s="2">
        <v>45017.0</v>
      </c>
      <c r="B39" s="18">
        <f>IFERROR(__xludf.DUMMYFUNCTION("""COMPUTED_VALUE"""),4.433333333333334)</f>
        <v>4.433333333</v>
      </c>
      <c r="C39" s="8"/>
    </row>
    <row r="40">
      <c r="A40" s="2">
        <v>45108.0</v>
      </c>
      <c r="B40" s="18">
        <f>IFERROR(__xludf.DUMMYFUNCTION("""COMPUTED_VALUE"""),4.6000000000000005)</f>
        <v>4.6</v>
      </c>
      <c r="C40" s="8"/>
    </row>
    <row r="41">
      <c r="A41" s="2">
        <v>45200.0</v>
      </c>
      <c r="B41" s="18">
        <f>IFERROR(__xludf.DUMMYFUNCTION("""COMPUTED_VALUE"""),3.6333333333333333)</f>
        <v>3.633333333</v>
      </c>
      <c r="C41" s="8"/>
    </row>
    <row r="42">
      <c r="A42" s="2">
        <v>45292.0</v>
      </c>
      <c r="B42" s="18">
        <f>IFERROR(__xludf.DUMMYFUNCTION("""COMPUTED_VALUE"""),3.966666666666667)</f>
        <v>3.966666667</v>
      </c>
      <c r="C42" s="8"/>
    </row>
    <row r="43">
      <c r="A43" s="2">
        <v>45383.0</v>
      </c>
      <c r="B43" s="18">
        <f>IFERROR(__xludf.DUMMYFUNCTION("""COMPUTED_VALUE"""),3.733333333333333)</f>
        <v>3.733333333</v>
      </c>
      <c r="C43" s="8"/>
    </row>
    <row r="44">
      <c r="A44" s="2">
        <v>45474.0</v>
      </c>
      <c r="B44" s="18">
        <f>IFERROR(__xludf.DUMMYFUNCTION("""COMPUTED_VALUE"""),4.133333333333333)</f>
        <v>4.133333333</v>
      </c>
      <c r="C44" s="8"/>
    </row>
    <row r="45">
      <c r="A45" s="2">
        <v>45566.0</v>
      </c>
      <c r="B45" s="18">
        <f>IFERROR(__xludf.DUMMYFUNCTION("""COMPUTED_VALUE"""),3.4)</f>
        <v>3.4</v>
      </c>
      <c r="C45" s="8"/>
    </row>
    <row r="46">
      <c r="A46" s="2"/>
      <c r="B46" s="16"/>
      <c r="C46" s="8"/>
    </row>
    <row r="47">
      <c r="B47" s="16"/>
      <c r="C47" s="8"/>
    </row>
    <row r="48">
      <c r="B48" s="16"/>
      <c r="C48" s="8"/>
    </row>
    <row r="49">
      <c r="B49" s="16"/>
      <c r="C49" s="8"/>
    </row>
    <row r="50">
      <c r="B50" s="16"/>
      <c r="C50" s="8"/>
    </row>
    <row r="51">
      <c r="B51" s="16"/>
      <c r="C51" s="8"/>
    </row>
    <row r="52">
      <c r="B52" s="16"/>
      <c r="C52" s="8"/>
    </row>
    <row r="53">
      <c r="B53" s="16"/>
      <c r="C53" s="8"/>
    </row>
    <row r="54">
      <c r="B54" s="16"/>
      <c r="C54" s="8"/>
    </row>
    <row r="55">
      <c r="B55" s="16"/>
      <c r="C55" s="8"/>
    </row>
    <row r="56">
      <c r="B56" s="16"/>
      <c r="C56" s="8"/>
    </row>
    <row r="57">
      <c r="B57" s="16"/>
      <c r="C57" s="8"/>
    </row>
    <row r="58">
      <c r="B58" s="16"/>
      <c r="C58" s="8"/>
    </row>
    <row r="59">
      <c r="B59" s="16"/>
      <c r="C59" s="8"/>
    </row>
    <row r="60">
      <c r="B60" s="16"/>
      <c r="C60" s="8"/>
    </row>
    <row r="61">
      <c r="B61" s="16"/>
      <c r="C61" s="8"/>
    </row>
    <row r="62">
      <c r="B62" s="16"/>
      <c r="C62" s="8"/>
    </row>
    <row r="63">
      <c r="B63" s="16"/>
      <c r="C63" s="8"/>
    </row>
    <row r="64">
      <c r="B64" s="16"/>
      <c r="C64" s="8"/>
    </row>
    <row r="65">
      <c r="B65" s="16"/>
      <c r="C65" s="8"/>
    </row>
    <row r="66">
      <c r="B66" s="16"/>
      <c r="C66" s="8"/>
    </row>
    <row r="67">
      <c r="B67" s="16"/>
      <c r="C67" s="8"/>
    </row>
    <row r="68">
      <c r="B68" s="16"/>
      <c r="C68" s="8"/>
    </row>
    <row r="69">
      <c r="B69" s="16"/>
      <c r="C69" s="8"/>
    </row>
    <row r="70">
      <c r="B70" s="16"/>
      <c r="C70" s="8"/>
    </row>
    <row r="71">
      <c r="B71" s="16"/>
      <c r="C71" s="8"/>
    </row>
    <row r="72">
      <c r="B72" s="16"/>
      <c r="C72" s="8"/>
    </row>
    <row r="73">
      <c r="B73" s="16"/>
      <c r="C73" s="8"/>
    </row>
    <row r="74">
      <c r="B74" s="16"/>
      <c r="C74" s="8"/>
    </row>
    <row r="75">
      <c r="B75" s="16"/>
      <c r="C75" s="8"/>
    </row>
    <row r="76">
      <c r="B76" s="16"/>
      <c r="C76" s="8"/>
    </row>
    <row r="77">
      <c r="B77" s="16"/>
      <c r="C77" s="8"/>
    </row>
    <row r="78">
      <c r="B78" s="16"/>
      <c r="C78" s="8"/>
    </row>
    <row r="79">
      <c r="B79" s="16"/>
      <c r="C79" s="8"/>
    </row>
    <row r="80">
      <c r="B80" s="16"/>
      <c r="C80" s="8"/>
    </row>
    <row r="81">
      <c r="B81" s="16"/>
      <c r="C81" s="8"/>
    </row>
    <row r="82">
      <c r="B82" s="16"/>
      <c r="C82" s="8"/>
    </row>
    <row r="83">
      <c r="B83" s="16"/>
      <c r="C83" s="8"/>
    </row>
    <row r="84">
      <c r="B84" s="16"/>
      <c r="C84" s="8"/>
    </row>
    <row r="85">
      <c r="B85" s="16"/>
      <c r="C85" s="8"/>
    </row>
    <row r="86">
      <c r="B86" s="16"/>
      <c r="C86" s="8"/>
    </row>
    <row r="87">
      <c r="B87" s="16"/>
      <c r="C87" s="8"/>
    </row>
    <row r="88">
      <c r="B88" s="16"/>
      <c r="C88" s="8"/>
    </row>
    <row r="89">
      <c r="B89" s="16"/>
      <c r="C89" s="8"/>
    </row>
    <row r="90">
      <c r="B90" s="16"/>
      <c r="C90" s="8"/>
    </row>
    <row r="91">
      <c r="B91" s="16"/>
      <c r="C91" s="8"/>
    </row>
    <row r="92">
      <c r="B92" s="16"/>
      <c r="C92" s="8"/>
    </row>
    <row r="93">
      <c r="B93" s="16"/>
      <c r="C93" s="8"/>
    </row>
    <row r="94">
      <c r="B94" s="16"/>
      <c r="C94" s="8"/>
    </row>
    <row r="95">
      <c r="B95" s="16"/>
      <c r="C95" s="8"/>
    </row>
    <row r="96">
      <c r="B96" s="16"/>
      <c r="C96" s="8"/>
    </row>
    <row r="97">
      <c r="B97" s="16"/>
      <c r="C97" s="8"/>
    </row>
    <row r="98">
      <c r="B98" s="16"/>
      <c r="C98" s="8"/>
    </row>
    <row r="99">
      <c r="B99" s="16"/>
      <c r="C99" s="8"/>
    </row>
    <row r="100">
      <c r="B100" s="16"/>
      <c r="C100" s="8"/>
    </row>
    <row r="101">
      <c r="B101" s="16"/>
      <c r="C101" s="8"/>
    </row>
    <row r="102">
      <c r="B102" s="16"/>
      <c r="C102" s="8"/>
    </row>
    <row r="103">
      <c r="B103" s="16"/>
      <c r="C103" s="8"/>
    </row>
    <row r="104">
      <c r="B104" s="16"/>
      <c r="C104" s="8"/>
    </row>
    <row r="105">
      <c r="B105" s="16"/>
      <c r="C105" s="8"/>
    </row>
    <row r="106">
      <c r="B106" s="16"/>
      <c r="C106" s="8"/>
    </row>
    <row r="107">
      <c r="B107" s="16"/>
      <c r="C107" s="8"/>
    </row>
    <row r="108">
      <c r="B108" s="16"/>
      <c r="C108" s="8"/>
    </row>
    <row r="109">
      <c r="B109" s="16"/>
      <c r="C109" s="8"/>
    </row>
    <row r="110">
      <c r="B110" s="16"/>
      <c r="C110" s="8"/>
    </row>
    <row r="111">
      <c r="B111" s="16"/>
      <c r="C111" s="8"/>
    </row>
    <row r="112">
      <c r="B112" s="16"/>
      <c r="C112" s="8"/>
    </row>
    <row r="113">
      <c r="B113" s="16"/>
      <c r="C113" s="8"/>
    </row>
    <row r="114">
      <c r="B114" s="16"/>
      <c r="C114" s="8"/>
    </row>
    <row r="115">
      <c r="B115" s="16"/>
      <c r="C115" s="8"/>
    </row>
    <row r="116">
      <c r="B116" s="16"/>
      <c r="C116" s="8"/>
    </row>
    <row r="117">
      <c r="B117" s="16"/>
      <c r="C117" s="8"/>
    </row>
    <row r="118">
      <c r="B118" s="16"/>
      <c r="C118" s="8"/>
    </row>
    <row r="119">
      <c r="B119" s="16"/>
      <c r="C119" s="8"/>
    </row>
    <row r="120">
      <c r="B120" s="16"/>
      <c r="C120" s="8"/>
    </row>
    <row r="121">
      <c r="B121" s="16"/>
      <c r="C121" s="8"/>
    </row>
    <row r="122">
      <c r="B122" s="16"/>
      <c r="C122" s="8"/>
    </row>
    <row r="123">
      <c r="B123" s="16"/>
      <c r="C123" s="8"/>
    </row>
    <row r="124">
      <c r="B124" s="16"/>
      <c r="C124" s="8"/>
    </row>
    <row r="125">
      <c r="B125" s="16"/>
      <c r="C125" s="8"/>
    </row>
    <row r="126">
      <c r="B126" s="16"/>
      <c r="C126" s="8"/>
    </row>
    <row r="127">
      <c r="B127" s="16"/>
      <c r="C127" s="8"/>
    </row>
    <row r="128">
      <c r="B128" s="16"/>
      <c r="C128" s="8"/>
    </row>
    <row r="129">
      <c r="B129" s="16"/>
      <c r="C129" s="8"/>
    </row>
    <row r="130">
      <c r="B130" s="16"/>
      <c r="C130" s="8"/>
    </row>
    <row r="131">
      <c r="B131" s="16"/>
      <c r="C131" s="8"/>
    </row>
    <row r="132">
      <c r="B132" s="16"/>
      <c r="C132" s="8"/>
    </row>
    <row r="133">
      <c r="B133" s="16"/>
      <c r="C133" s="8"/>
    </row>
    <row r="134">
      <c r="B134" s="16"/>
      <c r="C134" s="8"/>
    </row>
    <row r="135">
      <c r="B135" s="16"/>
      <c r="C135" s="8"/>
    </row>
    <row r="136">
      <c r="B136" s="16"/>
      <c r="C136" s="8"/>
    </row>
    <row r="137">
      <c r="B137" s="16"/>
      <c r="C137" s="8"/>
    </row>
    <row r="138">
      <c r="B138" s="16"/>
      <c r="C138" s="8"/>
    </row>
    <row r="139">
      <c r="B139" s="16"/>
      <c r="C139" s="8"/>
    </row>
    <row r="140">
      <c r="B140" s="16"/>
      <c r="C140" s="8"/>
    </row>
    <row r="141">
      <c r="B141" s="16"/>
      <c r="C141" s="8"/>
    </row>
    <row r="142">
      <c r="B142" s="16"/>
      <c r="C142" s="8"/>
    </row>
    <row r="143">
      <c r="B143" s="16"/>
      <c r="C143" s="8"/>
    </row>
    <row r="144">
      <c r="B144" s="16"/>
      <c r="C144" s="8"/>
    </row>
    <row r="145">
      <c r="B145" s="16"/>
      <c r="C145" s="8"/>
    </row>
    <row r="146">
      <c r="B146" s="16"/>
      <c r="C146" s="8"/>
    </row>
    <row r="147">
      <c r="B147" s="16"/>
      <c r="C147" s="8"/>
    </row>
    <row r="148">
      <c r="B148" s="16"/>
      <c r="C148" s="8"/>
    </row>
    <row r="149">
      <c r="B149" s="16"/>
      <c r="C149" s="8"/>
    </row>
    <row r="150">
      <c r="B150" s="16"/>
      <c r="C150" s="8"/>
    </row>
    <row r="151">
      <c r="B151" s="16"/>
      <c r="C151" s="8"/>
    </row>
    <row r="152">
      <c r="B152" s="16"/>
      <c r="C152" s="8"/>
    </row>
    <row r="153">
      <c r="B153" s="16"/>
      <c r="C153" s="8"/>
    </row>
    <row r="154">
      <c r="B154" s="16"/>
      <c r="C154" s="8"/>
    </row>
    <row r="155">
      <c r="B155" s="16"/>
      <c r="C155" s="8"/>
    </row>
    <row r="156">
      <c r="B156" s="16"/>
      <c r="C156" s="8"/>
    </row>
    <row r="157">
      <c r="B157" s="16"/>
      <c r="C157" s="8"/>
    </row>
    <row r="158">
      <c r="B158" s="16"/>
      <c r="C158" s="8"/>
    </row>
    <row r="159">
      <c r="B159" s="16"/>
      <c r="C159" s="8"/>
    </row>
    <row r="160">
      <c r="B160" s="16"/>
      <c r="C160" s="8"/>
    </row>
    <row r="161">
      <c r="B161" s="16"/>
      <c r="C161" s="8"/>
    </row>
    <row r="162">
      <c r="B162" s="16"/>
      <c r="C162" s="8"/>
    </row>
    <row r="163">
      <c r="B163" s="16"/>
      <c r="C163" s="8"/>
    </row>
    <row r="164">
      <c r="B164" s="16"/>
      <c r="C164" s="8"/>
    </row>
    <row r="165">
      <c r="B165" s="16"/>
      <c r="C165" s="8"/>
    </row>
    <row r="166">
      <c r="B166" s="16"/>
      <c r="C166" s="8"/>
    </row>
    <row r="167">
      <c r="B167" s="16"/>
      <c r="C167" s="8"/>
    </row>
    <row r="168">
      <c r="B168" s="16"/>
      <c r="C168" s="8"/>
    </row>
    <row r="169">
      <c r="B169" s="16"/>
      <c r="C169" s="8"/>
    </row>
    <row r="170">
      <c r="B170" s="16"/>
      <c r="C170" s="8"/>
    </row>
    <row r="171">
      <c r="B171" s="16"/>
      <c r="C171" s="8"/>
    </row>
    <row r="172">
      <c r="B172" s="16"/>
      <c r="C172" s="8"/>
    </row>
    <row r="173">
      <c r="B173" s="16"/>
      <c r="C173" s="8"/>
    </row>
    <row r="174">
      <c r="B174" s="16"/>
      <c r="C174" s="8"/>
    </row>
    <row r="175">
      <c r="B175" s="16"/>
      <c r="C175" s="8"/>
    </row>
    <row r="176">
      <c r="B176" s="16"/>
      <c r="C176" s="8"/>
    </row>
    <row r="177">
      <c r="B177" s="16"/>
      <c r="C177" s="8"/>
    </row>
    <row r="178">
      <c r="B178" s="16"/>
      <c r="C178" s="8"/>
    </row>
    <row r="179">
      <c r="B179" s="16"/>
      <c r="C179" s="8"/>
    </row>
    <row r="180">
      <c r="B180" s="16"/>
      <c r="C180" s="8"/>
    </row>
    <row r="181">
      <c r="B181" s="16"/>
      <c r="C181" s="8"/>
    </row>
    <row r="182">
      <c r="B182" s="16"/>
      <c r="C182" s="8"/>
    </row>
    <row r="183">
      <c r="B183" s="16"/>
      <c r="C183" s="8"/>
    </row>
    <row r="184">
      <c r="B184" s="16"/>
      <c r="C184" s="8"/>
    </row>
    <row r="185">
      <c r="B185" s="16"/>
      <c r="C185" s="8"/>
    </row>
    <row r="186">
      <c r="B186" s="16"/>
      <c r="C186" s="8"/>
    </row>
    <row r="187">
      <c r="B187" s="16"/>
      <c r="C187" s="8"/>
    </row>
    <row r="188">
      <c r="B188" s="16"/>
      <c r="C188" s="8"/>
    </row>
    <row r="189">
      <c r="B189" s="16"/>
      <c r="C189" s="8"/>
    </row>
    <row r="190">
      <c r="B190" s="16"/>
      <c r="C190" s="8"/>
    </row>
    <row r="191">
      <c r="B191" s="16"/>
      <c r="C191" s="8"/>
    </row>
    <row r="192">
      <c r="B192" s="16"/>
      <c r="C192" s="8"/>
    </row>
    <row r="193">
      <c r="B193" s="16"/>
      <c r="C193" s="8"/>
    </row>
    <row r="194">
      <c r="B194" s="16"/>
      <c r="C194" s="8"/>
    </row>
    <row r="195">
      <c r="B195" s="16"/>
      <c r="C195" s="8"/>
    </row>
    <row r="196">
      <c r="B196" s="16"/>
      <c r="C196" s="8"/>
    </row>
    <row r="197">
      <c r="B197" s="16"/>
      <c r="C197" s="8"/>
    </row>
    <row r="198">
      <c r="B198" s="16"/>
      <c r="C198" s="8"/>
    </row>
    <row r="199">
      <c r="B199" s="16"/>
      <c r="C199" s="8"/>
    </row>
    <row r="200">
      <c r="B200" s="16"/>
      <c r="C200" s="8"/>
    </row>
    <row r="201">
      <c r="B201" s="16"/>
      <c r="C201" s="8"/>
    </row>
    <row r="202">
      <c r="B202" s="16"/>
      <c r="C202" s="8"/>
    </row>
    <row r="203">
      <c r="B203" s="16"/>
      <c r="C203" s="8"/>
    </row>
    <row r="204">
      <c r="B204" s="16"/>
      <c r="C204" s="8"/>
    </row>
    <row r="205">
      <c r="B205" s="16"/>
      <c r="C205" s="8"/>
    </row>
    <row r="206">
      <c r="B206" s="16"/>
      <c r="C206" s="8"/>
    </row>
    <row r="207">
      <c r="B207" s="16"/>
      <c r="C207" s="8"/>
    </row>
    <row r="208">
      <c r="B208" s="16"/>
      <c r="C208" s="8"/>
    </row>
    <row r="209">
      <c r="B209" s="16"/>
      <c r="C209" s="8"/>
    </row>
    <row r="210">
      <c r="B210" s="16"/>
      <c r="C210" s="8"/>
    </row>
    <row r="211">
      <c r="B211" s="16"/>
      <c r="C211" s="8"/>
    </row>
    <row r="212">
      <c r="B212" s="16"/>
      <c r="C212" s="8"/>
    </row>
    <row r="213">
      <c r="B213" s="16"/>
      <c r="C213" s="8"/>
    </row>
    <row r="214">
      <c r="B214" s="16"/>
      <c r="C214" s="8"/>
    </row>
    <row r="215">
      <c r="B215" s="16"/>
      <c r="C215" s="8"/>
    </row>
    <row r="216">
      <c r="B216" s="16"/>
      <c r="C216" s="8"/>
    </row>
    <row r="217">
      <c r="B217" s="16"/>
      <c r="C217" s="8"/>
    </row>
    <row r="218">
      <c r="B218" s="16"/>
      <c r="C218" s="8"/>
    </row>
    <row r="219">
      <c r="B219" s="16"/>
      <c r="C219" s="8"/>
    </row>
    <row r="220">
      <c r="B220" s="16"/>
      <c r="C220" s="8"/>
    </row>
    <row r="221">
      <c r="B221" s="16"/>
      <c r="C221" s="8"/>
    </row>
    <row r="222">
      <c r="B222" s="16"/>
      <c r="C222" s="8"/>
    </row>
    <row r="223">
      <c r="B223" s="16"/>
      <c r="C223" s="8"/>
    </row>
    <row r="224">
      <c r="B224" s="16"/>
      <c r="C224" s="8"/>
    </row>
    <row r="225">
      <c r="B225" s="16"/>
      <c r="C225" s="8"/>
    </row>
    <row r="226">
      <c r="B226" s="16"/>
      <c r="C226" s="8"/>
    </row>
    <row r="227">
      <c r="B227" s="16"/>
      <c r="C227" s="8"/>
    </row>
    <row r="228">
      <c r="B228" s="16"/>
      <c r="C228" s="8"/>
    </row>
    <row r="229">
      <c r="B229" s="16"/>
      <c r="C229" s="8"/>
    </row>
    <row r="230">
      <c r="B230" s="16"/>
      <c r="C230" s="8"/>
    </row>
    <row r="231">
      <c r="B231" s="16"/>
      <c r="C231" s="8"/>
    </row>
    <row r="232">
      <c r="B232" s="16"/>
      <c r="C232" s="8"/>
    </row>
    <row r="233">
      <c r="B233" s="16"/>
      <c r="C233" s="8"/>
    </row>
    <row r="234">
      <c r="B234" s="16"/>
      <c r="C234" s="8"/>
    </row>
    <row r="235">
      <c r="B235" s="16"/>
      <c r="C235" s="8"/>
    </row>
    <row r="236">
      <c r="B236" s="16"/>
      <c r="C236" s="8"/>
    </row>
    <row r="237">
      <c r="B237" s="16"/>
      <c r="C237" s="8"/>
    </row>
    <row r="238">
      <c r="B238" s="16"/>
      <c r="C238" s="8"/>
    </row>
    <row r="239">
      <c r="B239" s="16"/>
      <c r="C239" s="8"/>
    </row>
    <row r="240">
      <c r="B240" s="16"/>
      <c r="C240" s="8"/>
    </row>
    <row r="241">
      <c r="B241" s="16"/>
      <c r="C241" s="8"/>
    </row>
    <row r="242">
      <c r="B242" s="16"/>
      <c r="C242" s="8"/>
    </row>
    <row r="243">
      <c r="B243" s="16"/>
      <c r="C243" s="8"/>
    </row>
    <row r="244">
      <c r="B244" s="16"/>
      <c r="C244" s="8"/>
    </row>
    <row r="245">
      <c r="B245" s="16"/>
      <c r="C245" s="8"/>
    </row>
    <row r="246">
      <c r="B246" s="16"/>
      <c r="C246" s="8"/>
    </row>
    <row r="247">
      <c r="B247" s="16"/>
      <c r="C247" s="8"/>
    </row>
    <row r="248">
      <c r="B248" s="16"/>
      <c r="C248" s="8"/>
    </row>
    <row r="249">
      <c r="B249" s="16"/>
      <c r="C249" s="8"/>
    </row>
    <row r="250">
      <c r="B250" s="16"/>
      <c r="C250" s="8"/>
    </row>
    <row r="251">
      <c r="B251" s="16"/>
      <c r="C251" s="8"/>
    </row>
    <row r="252">
      <c r="B252" s="16"/>
      <c r="C252" s="8"/>
    </row>
    <row r="253">
      <c r="B253" s="16"/>
      <c r="C253" s="8"/>
    </row>
    <row r="254">
      <c r="B254" s="16"/>
      <c r="C254" s="8"/>
    </row>
    <row r="255">
      <c r="B255" s="16"/>
      <c r="C255" s="8"/>
    </row>
    <row r="256">
      <c r="B256" s="16"/>
      <c r="C256" s="8"/>
    </row>
    <row r="257">
      <c r="B257" s="16"/>
      <c r="C257" s="8"/>
    </row>
    <row r="258">
      <c r="B258" s="16"/>
      <c r="C258" s="8"/>
    </row>
    <row r="259">
      <c r="B259" s="16"/>
      <c r="C259" s="8"/>
    </row>
    <row r="260">
      <c r="B260" s="16"/>
      <c r="C260" s="8"/>
    </row>
    <row r="261">
      <c r="B261" s="16"/>
      <c r="C261" s="8"/>
    </row>
    <row r="262">
      <c r="B262" s="16"/>
      <c r="C262" s="8"/>
    </row>
    <row r="263">
      <c r="B263" s="16"/>
      <c r="C263" s="8"/>
    </row>
    <row r="264">
      <c r="B264" s="16"/>
      <c r="C264" s="8"/>
    </row>
    <row r="265">
      <c r="B265" s="16"/>
      <c r="C265" s="8"/>
    </row>
    <row r="266">
      <c r="B266" s="16"/>
      <c r="C266" s="8"/>
    </row>
    <row r="267">
      <c r="B267" s="16"/>
      <c r="C267" s="8"/>
    </row>
    <row r="268">
      <c r="B268" s="16"/>
      <c r="C268" s="8"/>
    </row>
    <row r="269">
      <c r="B269" s="16"/>
      <c r="C269" s="8"/>
    </row>
    <row r="270">
      <c r="B270" s="16"/>
      <c r="C270" s="8"/>
    </row>
    <row r="271">
      <c r="B271" s="16"/>
      <c r="C271" s="8"/>
    </row>
    <row r="272">
      <c r="B272" s="16"/>
      <c r="C272" s="8"/>
    </row>
    <row r="273">
      <c r="B273" s="16"/>
      <c r="C273" s="8"/>
    </row>
    <row r="274">
      <c r="B274" s="16"/>
      <c r="C274" s="8"/>
    </row>
    <row r="275">
      <c r="B275" s="16"/>
      <c r="C275" s="8"/>
    </row>
    <row r="276">
      <c r="B276" s="16"/>
      <c r="C276" s="8"/>
    </row>
    <row r="277">
      <c r="B277" s="16"/>
      <c r="C277" s="8"/>
    </row>
    <row r="278">
      <c r="B278" s="16"/>
      <c r="C278" s="8"/>
    </row>
    <row r="279">
      <c r="B279" s="16"/>
      <c r="C279" s="8"/>
    </row>
    <row r="280">
      <c r="B280" s="16"/>
      <c r="C280" s="8"/>
    </row>
    <row r="281">
      <c r="B281" s="16"/>
      <c r="C281" s="8"/>
    </row>
    <row r="282">
      <c r="B282" s="16"/>
      <c r="C282" s="8"/>
    </row>
    <row r="283">
      <c r="B283" s="16"/>
      <c r="C283" s="8"/>
    </row>
    <row r="284">
      <c r="B284" s="16"/>
      <c r="C284" s="8"/>
    </row>
    <row r="285">
      <c r="B285" s="16"/>
      <c r="C285" s="8"/>
    </row>
    <row r="286">
      <c r="B286" s="16"/>
      <c r="C286" s="8"/>
    </row>
    <row r="287">
      <c r="B287" s="16"/>
      <c r="C287" s="8"/>
    </row>
    <row r="288">
      <c r="B288" s="16"/>
      <c r="C288" s="8"/>
    </row>
    <row r="289">
      <c r="B289" s="16"/>
      <c r="C289" s="8"/>
    </row>
    <row r="290">
      <c r="B290" s="16"/>
      <c r="C290" s="8"/>
    </row>
    <row r="291">
      <c r="B291" s="16"/>
      <c r="C291" s="8"/>
    </row>
    <row r="292">
      <c r="B292" s="16"/>
      <c r="C292" s="8"/>
    </row>
    <row r="293">
      <c r="B293" s="16"/>
      <c r="C293" s="8"/>
    </row>
    <row r="294">
      <c r="B294" s="16"/>
      <c r="C294" s="8"/>
    </row>
    <row r="295">
      <c r="B295" s="16"/>
      <c r="C295" s="8"/>
    </row>
    <row r="296">
      <c r="B296" s="16"/>
      <c r="C296" s="8"/>
    </row>
    <row r="297">
      <c r="B297" s="16"/>
      <c r="C297" s="8"/>
    </row>
    <row r="298">
      <c r="B298" s="16"/>
      <c r="C298" s="8"/>
    </row>
    <row r="299">
      <c r="B299" s="16"/>
      <c r="C299" s="8"/>
    </row>
    <row r="300">
      <c r="B300" s="16"/>
      <c r="C300" s="8"/>
    </row>
    <row r="301">
      <c r="B301" s="16"/>
      <c r="C301" s="8"/>
    </row>
    <row r="302">
      <c r="B302" s="16"/>
      <c r="C302" s="8"/>
    </row>
    <row r="303">
      <c r="B303" s="16"/>
      <c r="C303" s="8"/>
    </row>
    <row r="304">
      <c r="B304" s="16"/>
      <c r="C304" s="8"/>
    </row>
    <row r="305">
      <c r="B305" s="16"/>
      <c r="C305" s="8"/>
    </row>
    <row r="306">
      <c r="B306" s="16"/>
      <c r="C306" s="8"/>
    </row>
    <row r="307">
      <c r="B307" s="16"/>
      <c r="C307" s="8"/>
    </row>
    <row r="308">
      <c r="B308" s="16"/>
      <c r="C308" s="8"/>
    </row>
    <row r="309">
      <c r="B309" s="16"/>
      <c r="C309" s="8"/>
    </row>
    <row r="310">
      <c r="B310" s="16"/>
      <c r="C310" s="8"/>
    </row>
    <row r="311">
      <c r="B311" s="16"/>
      <c r="C311" s="8"/>
    </row>
    <row r="312">
      <c r="B312" s="16"/>
      <c r="C312" s="8"/>
    </row>
    <row r="313">
      <c r="B313" s="16"/>
      <c r="C313" s="8"/>
    </row>
    <row r="314">
      <c r="B314" s="16"/>
      <c r="C314" s="8"/>
    </row>
    <row r="315">
      <c r="B315" s="16"/>
      <c r="C315" s="8"/>
    </row>
    <row r="316">
      <c r="B316" s="16"/>
      <c r="C316" s="8"/>
    </row>
    <row r="317">
      <c r="B317" s="16"/>
      <c r="C317" s="8"/>
    </row>
    <row r="318">
      <c r="B318" s="16"/>
      <c r="C318" s="8"/>
    </row>
    <row r="319">
      <c r="B319" s="16"/>
      <c r="C319" s="8"/>
    </row>
    <row r="320">
      <c r="B320" s="16"/>
      <c r="C320" s="8"/>
    </row>
    <row r="321">
      <c r="B321" s="16"/>
      <c r="C321" s="8"/>
    </row>
    <row r="322">
      <c r="B322" s="16"/>
      <c r="C322" s="8"/>
    </row>
    <row r="323">
      <c r="B323" s="16"/>
      <c r="C323" s="8"/>
    </row>
    <row r="324">
      <c r="B324" s="16"/>
      <c r="C324" s="8"/>
    </row>
    <row r="325">
      <c r="B325" s="16"/>
      <c r="C325" s="8"/>
    </row>
    <row r="326">
      <c r="B326" s="16"/>
      <c r="C326" s="8"/>
    </row>
    <row r="327">
      <c r="B327" s="16"/>
      <c r="C327" s="8"/>
    </row>
    <row r="328">
      <c r="B328" s="16"/>
      <c r="C328" s="8"/>
    </row>
    <row r="329">
      <c r="B329" s="16"/>
      <c r="C329" s="8"/>
    </row>
    <row r="330">
      <c r="B330" s="16"/>
      <c r="C330" s="8"/>
    </row>
    <row r="331">
      <c r="B331" s="16"/>
      <c r="C331" s="8"/>
    </row>
    <row r="332">
      <c r="B332" s="16"/>
      <c r="C332" s="8"/>
    </row>
    <row r="333">
      <c r="B333" s="16"/>
      <c r="C333" s="8"/>
    </row>
    <row r="334">
      <c r="B334" s="16"/>
      <c r="C334" s="8"/>
    </row>
    <row r="335">
      <c r="B335" s="16"/>
      <c r="C335" s="8"/>
    </row>
    <row r="336">
      <c r="B336" s="16"/>
      <c r="C336" s="8"/>
    </row>
    <row r="337">
      <c r="B337" s="16"/>
      <c r="C337" s="8"/>
    </row>
    <row r="338">
      <c r="B338" s="16"/>
      <c r="C338" s="8"/>
    </row>
    <row r="339">
      <c r="B339" s="16"/>
      <c r="C339" s="8"/>
    </row>
    <row r="340">
      <c r="B340" s="16"/>
      <c r="C340" s="8"/>
    </row>
    <row r="341">
      <c r="B341" s="16"/>
      <c r="C341" s="8"/>
    </row>
    <row r="342">
      <c r="B342" s="16"/>
      <c r="C342" s="8"/>
    </row>
    <row r="343">
      <c r="B343" s="16"/>
      <c r="C343" s="8"/>
    </row>
    <row r="344">
      <c r="B344" s="16"/>
      <c r="C344" s="8"/>
    </row>
    <row r="345">
      <c r="B345" s="16"/>
      <c r="C345" s="8"/>
    </row>
    <row r="346">
      <c r="B346" s="16"/>
      <c r="C346" s="8"/>
    </row>
    <row r="347">
      <c r="B347" s="16"/>
      <c r="C347" s="8"/>
    </row>
    <row r="348">
      <c r="B348" s="16"/>
      <c r="C348" s="8"/>
    </row>
    <row r="349">
      <c r="B349" s="16"/>
      <c r="C349" s="8"/>
    </row>
    <row r="350">
      <c r="B350" s="16"/>
      <c r="C350" s="8"/>
    </row>
    <row r="351">
      <c r="B351" s="16"/>
      <c r="C351" s="8"/>
    </row>
    <row r="352">
      <c r="B352" s="16"/>
      <c r="C352" s="8"/>
    </row>
    <row r="353">
      <c r="B353" s="16"/>
      <c r="C353" s="8"/>
    </row>
    <row r="354">
      <c r="B354" s="16"/>
      <c r="C354" s="8"/>
    </row>
    <row r="355">
      <c r="B355" s="16"/>
      <c r="C355" s="8"/>
    </row>
    <row r="356">
      <c r="B356" s="16"/>
      <c r="C356" s="8"/>
    </row>
    <row r="357">
      <c r="B357" s="16"/>
      <c r="C357" s="8"/>
    </row>
    <row r="358">
      <c r="B358" s="16"/>
      <c r="C358" s="8"/>
    </row>
    <row r="359">
      <c r="B359" s="16"/>
      <c r="C359" s="8"/>
    </row>
    <row r="360">
      <c r="B360" s="16"/>
      <c r="C360" s="8"/>
    </row>
    <row r="361">
      <c r="B361" s="16"/>
      <c r="C361" s="8"/>
    </row>
    <row r="362">
      <c r="B362" s="16"/>
      <c r="C362" s="8"/>
    </row>
    <row r="363">
      <c r="B363" s="16"/>
      <c r="C363" s="8"/>
    </row>
    <row r="364">
      <c r="B364" s="16"/>
      <c r="C364" s="8"/>
    </row>
    <row r="365">
      <c r="B365" s="16"/>
      <c r="C365" s="8"/>
    </row>
    <row r="366">
      <c r="B366" s="16"/>
      <c r="C366" s="8"/>
    </row>
    <row r="367">
      <c r="B367" s="16"/>
      <c r="C367" s="8"/>
    </row>
    <row r="368">
      <c r="B368" s="16"/>
      <c r="C368" s="8"/>
    </row>
    <row r="369">
      <c r="B369" s="16"/>
      <c r="C369" s="8"/>
    </row>
    <row r="370">
      <c r="B370" s="16"/>
      <c r="C370" s="8"/>
    </row>
    <row r="371">
      <c r="B371" s="16"/>
      <c r="C371" s="8"/>
    </row>
    <row r="372">
      <c r="B372" s="16"/>
      <c r="C372" s="8"/>
    </row>
    <row r="373">
      <c r="B373" s="16"/>
      <c r="C373" s="8"/>
    </row>
    <row r="374">
      <c r="B374" s="16"/>
      <c r="C374" s="8"/>
    </row>
    <row r="375">
      <c r="B375" s="16"/>
      <c r="C375" s="8"/>
    </row>
    <row r="376">
      <c r="B376" s="16"/>
      <c r="C376" s="8"/>
    </row>
    <row r="377">
      <c r="B377" s="16"/>
      <c r="C377" s="8"/>
    </row>
    <row r="378">
      <c r="B378" s="16"/>
      <c r="C378" s="8"/>
    </row>
    <row r="379">
      <c r="B379" s="16"/>
      <c r="C379" s="8"/>
    </row>
    <row r="380">
      <c r="B380" s="16"/>
      <c r="C380" s="8"/>
    </row>
    <row r="381">
      <c r="B381" s="16"/>
      <c r="C381" s="8"/>
    </row>
    <row r="382">
      <c r="B382" s="16"/>
      <c r="C382" s="8"/>
    </row>
    <row r="383">
      <c r="B383" s="16"/>
      <c r="C383" s="8"/>
    </row>
    <row r="384">
      <c r="B384" s="16"/>
      <c r="C384" s="8"/>
    </row>
    <row r="385">
      <c r="B385" s="16"/>
      <c r="C385" s="8"/>
    </row>
    <row r="386">
      <c r="B386" s="16"/>
      <c r="C386" s="8"/>
    </row>
    <row r="387">
      <c r="B387" s="16"/>
      <c r="C387" s="8"/>
    </row>
    <row r="388">
      <c r="B388" s="16"/>
      <c r="C388" s="8"/>
    </row>
    <row r="389">
      <c r="B389" s="16"/>
      <c r="C389" s="8"/>
    </row>
    <row r="390">
      <c r="B390" s="16"/>
      <c r="C390" s="8"/>
    </row>
    <row r="391">
      <c r="B391" s="16"/>
      <c r="C391" s="8"/>
    </row>
    <row r="392">
      <c r="B392" s="16"/>
      <c r="C392" s="8"/>
    </row>
    <row r="393">
      <c r="B393" s="16"/>
      <c r="C393" s="8"/>
    </row>
    <row r="394">
      <c r="B394" s="16"/>
      <c r="C394" s="8"/>
    </row>
    <row r="395">
      <c r="B395" s="16"/>
      <c r="C395" s="8"/>
    </row>
    <row r="396">
      <c r="B396" s="16"/>
      <c r="C396" s="8"/>
    </row>
    <row r="397">
      <c r="B397" s="16"/>
      <c r="C397" s="8"/>
    </row>
    <row r="398">
      <c r="B398" s="16"/>
      <c r="C398" s="8"/>
    </row>
    <row r="399">
      <c r="B399" s="16"/>
      <c r="C399" s="8"/>
    </row>
    <row r="400">
      <c r="B400" s="16"/>
      <c r="C400" s="8"/>
    </row>
    <row r="401">
      <c r="B401" s="16"/>
      <c r="C401" s="8"/>
    </row>
    <row r="402">
      <c r="B402" s="16"/>
      <c r="C402" s="8"/>
    </row>
    <row r="403">
      <c r="B403" s="16"/>
      <c r="C403" s="8"/>
    </row>
    <row r="404">
      <c r="B404" s="16"/>
      <c r="C404" s="8"/>
    </row>
    <row r="405">
      <c r="B405" s="16"/>
      <c r="C405" s="8"/>
    </row>
    <row r="406">
      <c r="B406" s="16"/>
      <c r="C406" s="8"/>
    </row>
    <row r="407">
      <c r="B407" s="16"/>
      <c r="C407" s="8"/>
    </row>
    <row r="408">
      <c r="B408" s="16"/>
      <c r="C408" s="8"/>
    </row>
    <row r="409">
      <c r="B409" s="16"/>
      <c r="C409" s="8"/>
    </row>
    <row r="410">
      <c r="B410" s="16"/>
      <c r="C410" s="8"/>
    </row>
    <row r="411">
      <c r="B411" s="16"/>
      <c r="C411" s="8"/>
    </row>
    <row r="412">
      <c r="B412" s="16"/>
      <c r="C412" s="8"/>
    </row>
    <row r="413">
      <c r="B413" s="16"/>
      <c r="C413" s="8"/>
    </row>
    <row r="414">
      <c r="B414" s="16"/>
      <c r="C414" s="8"/>
    </row>
    <row r="415">
      <c r="B415" s="16"/>
      <c r="C415" s="8"/>
    </row>
    <row r="416">
      <c r="B416" s="16"/>
      <c r="C416" s="8"/>
    </row>
    <row r="417">
      <c r="B417" s="16"/>
      <c r="C417" s="8"/>
    </row>
    <row r="418">
      <c r="B418" s="16"/>
      <c r="C418" s="8"/>
    </row>
    <row r="419">
      <c r="B419" s="16"/>
      <c r="C419" s="8"/>
    </row>
    <row r="420">
      <c r="B420" s="16"/>
      <c r="C420" s="8"/>
    </row>
    <row r="421">
      <c r="B421" s="16"/>
      <c r="C421" s="8"/>
    </row>
    <row r="422">
      <c r="B422" s="16"/>
      <c r="C422" s="8"/>
    </row>
    <row r="423">
      <c r="B423" s="16"/>
      <c r="C423" s="8"/>
    </row>
    <row r="424">
      <c r="B424" s="16"/>
      <c r="C424" s="8"/>
    </row>
    <row r="425">
      <c r="B425" s="16"/>
      <c r="C425" s="8"/>
    </row>
    <row r="426">
      <c r="B426" s="16"/>
      <c r="C426" s="8"/>
    </row>
    <row r="427">
      <c r="B427" s="16"/>
      <c r="C427" s="8"/>
    </row>
    <row r="428">
      <c r="B428" s="16"/>
      <c r="C428" s="8"/>
    </row>
    <row r="429">
      <c r="B429" s="16"/>
      <c r="C429" s="8"/>
    </row>
    <row r="430">
      <c r="B430" s="16"/>
      <c r="C430" s="8"/>
    </row>
    <row r="431">
      <c r="B431" s="16"/>
      <c r="C431" s="8"/>
    </row>
    <row r="432">
      <c r="B432" s="16"/>
      <c r="C432" s="8"/>
    </row>
    <row r="433">
      <c r="B433" s="16"/>
      <c r="C433" s="8"/>
    </row>
    <row r="434">
      <c r="B434" s="16"/>
      <c r="C434" s="8"/>
    </row>
    <row r="435">
      <c r="B435" s="16"/>
      <c r="C435" s="8"/>
    </row>
    <row r="436">
      <c r="B436" s="16"/>
      <c r="C436" s="8"/>
    </row>
    <row r="437">
      <c r="B437" s="16"/>
      <c r="C437" s="8"/>
    </row>
    <row r="438">
      <c r="B438" s="16"/>
      <c r="C438" s="8"/>
    </row>
    <row r="439">
      <c r="B439" s="16"/>
      <c r="C439" s="8"/>
    </row>
    <row r="440">
      <c r="B440" s="16"/>
      <c r="C440" s="8"/>
    </row>
    <row r="441">
      <c r="B441" s="16"/>
      <c r="C441" s="8"/>
    </row>
    <row r="442">
      <c r="B442" s="16"/>
      <c r="C442" s="8"/>
    </row>
    <row r="443">
      <c r="B443" s="16"/>
      <c r="C443" s="8"/>
    </row>
    <row r="444">
      <c r="B444" s="16"/>
      <c r="C444" s="8"/>
    </row>
    <row r="445">
      <c r="B445" s="16"/>
      <c r="C445" s="8"/>
    </row>
    <row r="446">
      <c r="B446" s="16"/>
      <c r="C446" s="8"/>
    </row>
    <row r="447">
      <c r="B447" s="16"/>
      <c r="C447" s="8"/>
    </row>
    <row r="448">
      <c r="B448" s="16"/>
      <c r="C448" s="8"/>
    </row>
    <row r="449">
      <c r="B449" s="16"/>
      <c r="C449" s="8"/>
    </row>
    <row r="450">
      <c r="B450" s="16"/>
      <c r="C450" s="8"/>
    </row>
    <row r="451">
      <c r="B451" s="16"/>
      <c r="C451" s="8"/>
    </row>
    <row r="452">
      <c r="B452" s="16"/>
      <c r="C452" s="8"/>
    </row>
    <row r="453">
      <c r="B453" s="16"/>
      <c r="C453" s="8"/>
    </row>
    <row r="454">
      <c r="B454" s="16"/>
      <c r="C454" s="8"/>
    </row>
    <row r="455">
      <c r="B455" s="16"/>
      <c r="C455" s="8"/>
    </row>
    <row r="456">
      <c r="B456" s="16"/>
      <c r="C456" s="8"/>
    </row>
    <row r="457">
      <c r="B457" s="16"/>
      <c r="C457" s="8"/>
    </row>
    <row r="458">
      <c r="B458" s="16"/>
      <c r="C458" s="8"/>
    </row>
    <row r="459">
      <c r="B459" s="16"/>
      <c r="C459" s="8"/>
    </row>
    <row r="460">
      <c r="B460" s="16"/>
      <c r="C460" s="8"/>
    </row>
    <row r="461">
      <c r="B461" s="16"/>
      <c r="C461" s="8"/>
    </row>
    <row r="462">
      <c r="B462" s="16"/>
      <c r="C462" s="8"/>
    </row>
    <row r="463">
      <c r="B463" s="16"/>
      <c r="C463" s="8"/>
    </row>
    <row r="464">
      <c r="B464" s="16"/>
      <c r="C464" s="8"/>
    </row>
    <row r="465">
      <c r="B465" s="16"/>
      <c r="C465" s="8"/>
    </row>
    <row r="466">
      <c r="B466" s="16"/>
      <c r="C466" s="8"/>
    </row>
    <row r="467">
      <c r="B467" s="16"/>
      <c r="C467" s="8"/>
    </row>
    <row r="468">
      <c r="B468" s="16"/>
      <c r="C468" s="8"/>
    </row>
    <row r="469">
      <c r="B469" s="16"/>
      <c r="C469" s="8"/>
    </row>
    <row r="470">
      <c r="B470" s="16"/>
      <c r="C470" s="8"/>
    </row>
    <row r="471">
      <c r="B471" s="16"/>
      <c r="C471" s="8"/>
    </row>
    <row r="472">
      <c r="B472" s="16"/>
      <c r="C472" s="8"/>
    </row>
    <row r="473">
      <c r="B473" s="16"/>
      <c r="C473" s="8"/>
    </row>
    <row r="474">
      <c r="B474" s="16"/>
      <c r="C474" s="8"/>
    </row>
    <row r="475">
      <c r="B475" s="16"/>
      <c r="C475" s="8"/>
    </row>
    <row r="476">
      <c r="B476" s="16"/>
      <c r="C476" s="8"/>
    </row>
    <row r="477">
      <c r="B477" s="16"/>
      <c r="C477" s="8"/>
    </row>
    <row r="478">
      <c r="B478" s="16"/>
      <c r="C478" s="8"/>
    </row>
    <row r="479">
      <c r="B479" s="16"/>
      <c r="C479" s="8"/>
    </row>
    <row r="480">
      <c r="B480" s="16"/>
      <c r="C480" s="8"/>
    </row>
    <row r="481">
      <c r="B481" s="16"/>
      <c r="C481" s="8"/>
    </row>
    <row r="482">
      <c r="B482" s="16"/>
      <c r="C482" s="8"/>
    </row>
    <row r="483">
      <c r="B483" s="16"/>
      <c r="C483" s="8"/>
    </row>
    <row r="484">
      <c r="B484" s="16"/>
      <c r="C484" s="8"/>
    </row>
    <row r="485">
      <c r="B485" s="16"/>
      <c r="C485" s="8"/>
    </row>
    <row r="486">
      <c r="B486" s="16"/>
      <c r="C486" s="8"/>
    </row>
    <row r="487">
      <c r="B487" s="16"/>
      <c r="C487" s="8"/>
    </row>
    <row r="488">
      <c r="B488" s="16"/>
      <c r="C488" s="8"/>
    </row>
    <row r="489">
      <c r="B489" s="16"/>
      <c r="C489" s="8"/>
    </row>
    <row r="490">
      <c r="B490" s="16"/>
      <c r="C490" s="8"/>
    </row>
    <row r="491">
      <c r="B491" s="16"/>
      <c r="C491" s="8"/>
    </row>
    <row r="492">
      <c r="B492" s="16"/>
      <c r="C492" s="8"/>
    </row>
    <row r="493">
      <c r="B493" s="16"/>
      <c r="C493" s="8"/>
    </row>
    <row r="494">
      <c r="B494" s="16"/>
      <c r="C494" s="8"/>
    </row>
    <row r="495">
      <c r="B495" s="16"/>
      <c r="C495" s="8"/>
    </row>
    <row r="496">
      <c r="B496" s="16"/>
      <c r="C496" s="8"/>
    </row>
    <row r="497">
      <c r="B497" s="16"/>
      <c r="C497" s="8"/>
    </row>
    <row r="498">
      <c r="B498" s="16"/>
      <c r="C498" s="8"/>
    </row>
    <row r="499">
      <c r="B499" s="16"/>
      <c r="C499" s="8"/>
    </row>
    <row r="500">
      <c r="B500" s="16"/>
      <c r="C500" s="8"/>
    </row>
    <row r="501">
      <c r="B501" s="16"/>
      <c r="C501" s="8"/>
    </row>
    <row r="502">
      <c r="B502" s="16"/>
      <c r="C502" s="8"/>
    </row>
    <row r="503">
      <c r="B503" s="16"/>
      <c r="C503" s="8"/>
    </row>
    <row r="504">
      <c r="B504" s="16"/>
      <c r="C504" s="8"/>
    </row>
    <row r="505">
      <c r="B505" s="16"/>
      <c r="C505" s="8"/>
    </row>
    <row r="506">
      <c r="B506" s="16"/>
      <c r="C506" s="8"/>
    </row>
    <row r="507">
      <c r="B507" s="16"/>
      <c r="C507" s="8"/>
    </row>
    <row r="508">
      <c r="B508" s="16"/>
      <c r="C508" s="8"/>
    </row>
    <row r="509">
      <c r="B509" s="16"/>
      <c r="C509" s="8"/>
    </row>
    <row r="510">
      <c r="B510" s="16"/>
      <c r="C510" s="8"/>
    </row>
    <row r="511">
      <c r="B511" s="16"/>
      <c r="C511" s="8"/>
    </row>
    <row r="512">
      <c r="B512" s="16"/>
      <c r="C512" s="8"/>
    </row>
    <row r="513">
      <c r="B513" s="16"/>
      <c r="C513" s="8"/>
    </row>
    <row r="514">
      <c r="B514" s="16"/>
      <c r="C514" s="8"/>
    </row>
    <row r="515">
      <c r="B515" s="16"/>
      <c r="C515" s="8"/>
    </row>
    <row r="516">
      <c r="B516" s="16"/>
      <c r="C516" s="8"/>
    </row>
    <row r="517">
      <c r="B517" s="16"/>
      <c r="C517" s="8"/>
    </row>
    <row r="518">
      <c r="B518" s="16"/>
      <c r="C518" s="8"/>
    </row>
    <row r="519">
      <c r="B519" s="16"/>
      <c r="C519" s="8"/>
    </row>
    <row r="520">
      <c r="B520" s="16"/>
      <c r="C520" s="8"/>
    </row>
    <row r="521">
      <c r="B521" s="16"/>
      <c r="C521" s="8"/>
    </row>
    <row r="522">
      <c r="B522" s="16"/>
      <c r="C522" s="8"/>
    </row>
    <row r="523">
      <c r="B523" s="16"/>
      <c r="C523" s="8"/>
    </row>
    <row r="524">
      <c r="B524" s="16"/>
      <c r="C524" s="8"/>
    </row>
    <row r="525">
      <c r="B525" s="16"/>
      <c r="C525" s="8"/>
    </row>
    <row r="526">
      <c r="B526" s="16"/>
      <c r="C526" s="8"/>
    </row>
    <row r="527">
      <c r="B527" s="16"/>
      <c r="C527" s="8"/>
    </row>
    <row r="528">
      <c r="B528" s="16"/>
      <c r="C528" s="8"/>
    </row>
    <row r="529">
      <c r="B529" s="16"/>
      <c r="C529" s="8"/>
    </row>
    <row r="530">
      <c r="B530" s="16"/>
      <c r="C530" s="8"/>
    </row>
    <row r="531">
      <c r="B531" s="16"/>
      <c r="C531" s="8"/>
    </row>
    <row r="532">
      <c r="B532" s="16"/>
      <c r="C532" s="8"/>
    </row>
    <row r="533">
      <c r="B533" s="16"/>
      <c r="C533" s="8"/>
    </row>
    <row r="534">
      <c r="B534" s="16"/>
      <c r="C534" s="8"/>
    </row>
    <row r="535">
      <c r="B535" s="16"/>
      <c r="C535" s="8"/>
    </row>
    <row r="536">
      <c r="B536" s="16"/>
      <c r="C536" s="8"/>
    </row>
    <row r="537">
      <c r="B537" s="16"/>
      <c r="C537" s="8"/>
    </row>
    <row r="538">
      <c r="B538" s="16"/>
      <c r="C538" s="8"/>
    </row>
    <row r="539">
      <c r="B539" s="16"/>
      <c r="C539" s="8"/>
    </row>
    <row r="540">
      <c r="B540" s="16"/>
      <c r="C540" s="8"/>
    </row>
    <row r="541">
      <c r="B541" s="16"/>
      <c r="C541" s="8"/>
    </row>
    <row r="542">
      <c r="B542" s="16"/>
      <c r="C542" s="8"/>
    </row>
    <row r="543">
      <c r="B543" s="16"/>
      <c r="C543" s="8"/>
    </row>
    <row r="544">
      <c r="B544" s="16"/>
      <c r="C544" s="8"/>
    </row>
    <row r="545">
      <c r="B545" s="16"/>
      <c r="C545" s="8"/>
    </row>
    <row r="546">
      <c r="B546" s="16"/>
      <c r="C546" s="8"/>
    </row>
    <row r="547">
      <c r="B547" s="16"/>
      <c r="C547" s="8"/>
    </row>
    <row r="548">
      <c r="B548" s="16"/>
      <c r="C548" s="8"/>
    </row>
    <row r="549">
      <c r="B549" s="16"/>
      <c r="C549" s="8"/>
    </row>
    <row r="550">
      <c r="B550" s="16"/>
      <c r="C550" s="8"/>
    </row>
    <row r="551">
      <c r="B551" s="16"/>
      <c r="C551" s="8"/>
    </row>
    <row r="552">
      <c r="B552" s="16"/>
      <c r="C552" s="8"/>
    </row>
    <row r="553">
      <c r="B553" s="16"/>
      <c r="C553" s="8"/>
    </row>
    <row r="554">
      <c r="B554" s="16"/>
      <c r="C554" s="8"/>
    </row>
    <row r="555">
      <c r="B555" s="16"/>
      <c r="C555" s="8"/>
    </row>
    <row r="556">
      <c r="B556" s="16"/>
      <c r="C556" s="8"/>
    </row>
    <row r="557">
      <c r="B557" s="16"/>
      <c r="C557" s="8"/>
    </row>
    <row r="558">
      <c r="B558" s="16"/>
      <c r="C558" s="8"/>
    </row>
    <row r="559">
      <c r="B559" s="16"/>
      <c r="C559" s="8"/>
    </row>
    <row r="560">
      <c r="B560" s="16"/>
      <c r="C560" s="8"/>
    </row>
    <row r="561">
      <c r="B561" s="16"/>
      <c r="C561" s="8"/>
    </row>
    <row r="562">
      <c r="B562" s="16"/>
      <c r="C562" s="8"/>
    </row>
    <row r="563">
      <c r="B563" s="16"/>
      <c r="C563" s="8"/>
    </row>
    <row r="564">
      <c r="B564" s="16"/>
      <c r="C564" s="8"/>
    </row>
    <row r="565">
      <c r="B565" s="16"/>
      <c r="C565" s="8"/>
    </row>
    <row r="566">
      <c r="B566" s="16"/>
      <c r="C566" s="8"/>
    </row>
    <row r="567">
      <c r="B567" s="16"/>
      <c r="C567" s="8"/>
    </row>
    <row r="568">
      <c r="B568" s="16"/>
      <c r="C568" s="8"/>
    </row>
    <row r="569">
      <c r="B569" s="16"/>
      <c r="C569" s="8"/>
    </row>
    <row r="570">
      <c r="B570" s="16"/>
      <c r="C570" s="8"/>
    </row>
    <row r="571">
      <c r="B571" s="16"/>
      <c r="C571" s="8"/>
    </row>
    <row r="572">
      <c r="B572" s="16"/>
      <c r="C572" s="8"/>
    </row>
    <row r="573">
      <c r="B573" s="16"/>
      <c r="C573" s="8"/>
    </row>
    <row r="574">
      <c r="B574" s="16"/>
      <c r="C574" s="8"/>
    </row>
    <row r="575">
      <c r="B575" s="16"/>
      <c r="C575" s="8"/>
    </row>
    <row r="576">
      <c r="B576" s="16"/>
      <c r="C576" s="8"/>
    </row>
    <row r="577">
      <c r="B577" s="16"/>
      <c r="C577" s="8"/>
    </row>
    <row r="578">
      <c r="B578" s="16"/>
      <c r="C578" s="8"/>
    </row>
    <row r="579">
      <c r="B579" s="16"/>
      <c r="C579" s="8"/>
    </row>
    <row r="580">
      <c r="B580" s="16"/>
      <c r="C580" s="8"/>
    </row>
    <row r="581">
      <c r="B581" s="16"/>
      <c r="C581" s="8"/>
    </row>
    <row r="582">
      <c r="B582" s="16"/>
      <c r="C582" s="8"/>
    </row>
    <row r="583">
      <c r="B583" s="16"/>
      <c r="C583" s="8"/>
    </row>
    <row r="584">
      <c r="B584" s="16"/>
      <c r="C584" s="8"/>
    </row>
    <row r="585">
      <c r="B585" s="16"/>
      <c r="C585" s="8"/>
    </row>
    <row r="586">
      <c r="B586" s="16"/>
      <c r="C586" s="8"/>
    </row>
    <row r="587">
      <c r="B587" s="16"/>
      <c r="C587" s="8"/>
    </row>
    <row r="588">
      <c r="B588" s="16"/>
      <c r="C588" s="8"/>
    </row>
    <row r="589">
      <c r="B589" s="16"/>
      <c r="C589" s="8"/>
    </row>
    <row r="590">
      <c r="B590" s="16"/>
      <c r="C590" s="8"/>
    </row>
    <row r="591">
      <c r="B591" s="16"/>
      <c r="C591" s="8"/>
    </row>
    <row r="592">
      <c r="B592" s="16"/>
      <c r="C592" s="8"/>
    </row>
    <row r="593">
      <c r="B593" s="16"/>
      <c r="C593" s="8"/>
    </row>
    <row r="594">
      <c r="B594" s="16"/>
      <c r="C594" s="8"/>
    </row>
    <row r="595">
      <c r="B595" s="16"/>
      <c r="C595" s="8"/>
    </row>
    <row r="596">
      <c r="B596" s="16"/>
      <c r="C596" s="8"/>
    </row>
    <row r="597">
      <c r="B597" s="16"/>
      <c r="C597" s="8"/>
    </row>
    <row r="598">
      <c r="B598" s="16"/>
      <c r="C598" s="8"/>
    </row>
    <row r="599">
      <c r="B599" s="16"/>
      <c r="C599" s="8"/>
    </row>
    <row r="600">
      <c r="B600" s="16"/>
      <c r="C600" s="8"/>
    </row>
    <row r="601">
      <c r="B601" s="16"/>
      <c r="C601" s="8"/>
    </row>
    <row r="602">
      <c r="B602" s="16"/>
      <c r="C602" s="8"/>
    </row>
    <row r="603">
      <c r="B603" s="16"/>
      <c r="C603" s="8"/>
    </row>
    <row r="604">
      <c r="B604" s="16"/>
      <c r="C604" s="8"/>
    </row>
    <row r="605">
      <c r="B605" s="16"/>
      <c r="C605" s="8"/>
    </row>
    <row r="606">
      <c r="B606" s="16"/>
      <c r="C606" s="8"/>
    </row>
    <row r="607">
      <c r="B607" s="16"/>
      <c r="C607" s="8"/>
    </row>
    <row r="608">
      <c r="B608" s="16"/>
      <c r="C608" s="8"/>
    </row>
    <row r="609">
      <c r="B609" s="16"/>
      <c r="C609" s="8"/>
    </row>
    <row r="610">
      <c r="B610" s="16"/>
      <c r="C610" s="8"/>
    </row>
    <row r="611">
      <c r="B611" s="16"/>
      <c r="C611" s="8"/>
    </row>
    <row r="612">
      <c r="B612" s="16"/>
      <c r="C612" s="8"/>
    </row>
    <row r="613">
      <c r="B613" s="16"/>
      <c r="C613" s="8"/>
    </row>
    <row r="614">
      <c r="B614" s="16"/>
      <c r="C614" s="8"/>
    </row>
    <row r="615">
      <c r="B615" s="16"/>
      <c r="C615" s="8"/>
    </row>
    <row r="616">
      <c r="B616" s="16"/>
      <c r="C616" s="8"/>
    </row>
    <row r="617">
      <c r="B617" s="16"/>
      <c r="C617" s="8"/>
    </row>
    <row r="618">
      <c r="B618" s="16"/>
      <c r="C618" s="8"/>
    </row>
    <row r="619">
      <c r="B619" s="16"/>
      <c r="C619" s="8"/>
    </row>
    <row r="620">
      <c r="B620" s="16"/>
      <c r="C620" s="8"/>
    </row>
    <row r="621">
      <c r="B621" s="16"/>
      <c r="C621" s="8"/>
    </row>
    <row r="622">
      <c r="B622" s="16"/>
      <c r="C622" s="8"/>
    </row>
    <row r="623">
      <c r="B623" s="16"/>
      <c r="C623" s="8"/>
    </row>
    <row r="624">
      <c r="B624" s="16"/>
      <c r="C624" s="8"/>
    </row>
    <row r="625">
      <c r="B625" s="16"/>
      <c r="C625" s="8"/>
    </row>
    <row r="626">
      <c r="B626" s="16"/>
      <c r="C626" s="8"/>
    </row>
    <row r="627">
      <c r="B627" s="16"/>
      <c r="C627" s="8"/>
    </row>
    <row r="628">
      <c r="B628" s="16"/>
      <c r="C628" s="8"/>
    </row>
    <row r="629">
      <c r="B629" s="16"/>
      <c r="C629" s="8"/>
    </row>
    <row r="630">
      <c r="B630" s="16"/>
      <c r="C630" s="8"/>
    </row>
    <row r="631">
      <c r="B631" s="16"/>
      <c r="C631" s="8"/>
    </row>
    <row r="632">
      <c r="B632" s="16"/>
      <c r="C632" s="8"/>
    </row>
    <row r="633">
      <c r="B633" s="16"/>
      <c r="C633" s="8"/>
    </row>
    <row r="634">
      <c r="B634" s="16"/>
      <c r="C634" s="8"/>
    </row>
    <row r="635">
      <c r="B635" s="16"/>
      <c r="C635" s="8"/>
    </row>
    <row r="636">
      <c r="B636" s="16"/>
      <c r="C636" s="8"/>
    </row>
    <row r="637">
      <c r="B637" s="16"/>
      <c r="C637" s="8"/>
    </row>
    <row r="638">
      <c r="B638" s="16"/>
      <c r="C638" s="8"/>
    </row>
    <row r="639">
      <c r="B639" s="16"/>
      <c r="C639" s="8"/>
    </row>
    <row r="640">
      <c r="B640" s="16"/>
      <c r="C640" s="8"/>
    </row>
    <row r="641">
      <c r="B641" s="16"/>
      <c r="C641" s="8"/>
    </row>
    <row r="642">
      <c r="B642" s="16"/>
      <c r="C642" s="8"/>
    </row>
    <row r="643">
      <c r="B643" s="16"/>
      <c r="C643" s="8"/>
    </row>
    <row r="644">
      <c r="B644" s="16"/>
      <c r="C644" s="8"/>
    </row>
    <row r="645">
      <c r="B645" s="16"/>
      <c r="C645" s="8"/>
    </row>
    <row r="646">
      <c r="B646" s="16"/>
      <c r="C646" s="8"/>
    </row>
    <row r="647">
      <c r="B647" s="16"/>
      <c r="C647" s="8"/>
    </row>
    <row r="648">
      <c r="B648" s="16"/>
      <c r="C648" s="8"/>
    </row>
    <row r="649">
      <c r="B649" s="16"/>
      <c r="C649" s="8"/>
    </row>
    <row r="650">
      <c r="B650" s="16"/>
      <c r="C650" s="8"/>
    </row>
    <row r="651">
      <c r="B651" s="16"/>
      <c r="C651" s="8"/>
    </row>
    <row r="652">
      <c r="B652" s="16"/>
      <c r="C652" s="8"/>
    </row>
    <row r="653">
      <c r="B653" s="16"/>
      <c r="C653" s="8"/>
    </row>
    <row r="654">
      <c r="B654" s="16"/>
      <c r="C654" s="8"/>
    </row>
    <row r="655">
      <c r="B655" s="16"/>
      <c r="C655" s="8"/>
    </row>
    <row r="656">
      <c r="B656" s="16"/>
      <c r="C656" s="8"/>
    </row>
    <row r="657">
      <c r="B657" s="16"/>
      <c r="C657" s="8"/>
    </row>
    <row r="658">
      <c r="B658" s="16"/>
      <c r="C658" s="8"/>
    </row>
    <row r="659">
      <c r="B659" s="16"/>
      <c r="C659" s="8"/>
    </row>
    <row r="660">
      <c r="B660" s="16"/>
      <c r="C660" s="8"/>
    </row>
    <row r="661">
      <c r="B661" s="16"/>
      <c r="C661" s="8"/>
    </row>
    <row r="662">
      <c r="B662" s="16"/>
      <c r="C662" s="8"/>
    </row>
    <row r="663">
      <c r="B663" s="16"/>
      <c r="C663" s="8"/>
    </row>
    <row r="664">
      <c r="B664" s="16"/>
      <c r="C664" s="8"/>
    </row>
    <row r="665">
      <c r="B665" s="16"/>
      <c r="C665" s="8"/>
    </row>
    <row r="666">
      <c r="B666" s="16"/>
      <c r="C666" s="8"/>
    </row>
    <row r="667">
      <c r="B667" s="16"/>
      <c r="C667" s="8"/>
    </row>
    <row r="668">
      <c r="B668" s="16"/>
      <c r="C668" s="8"/>
    </row>
    <row r="669">
      <c r="B669" s="16"/>
      <c r="C669" s="8"/>
    </row>
    <row r="670">
      <c r="B670" s="16"/>
      <c r="C670" s="8"/>
    </row>
    <row r="671">
      <c r="B671" s="16"/>
      <c r="C671" s="8"/>
    </row>
    <row r="672">
      <c r="B672" s="16"/>
      <c r="C672" s="8"/>
    </row>
    <row r="673">
      <c r="B673" s="16"/>
      <c r="C673" s="8"/>
    </row>
    <row r="674">
      <c r="B674" s="16"/>
      <c r="C674" s="8"/>
    </row>
    <row r="675">
      <c r="B675" s="16"/>
      <c r="C675" s="8"/>
    </row>
    <row r="676">
      <c r="B676" s="16"/>
      <c r="C676" s="8"/>
    </row>
    <row r="677">
      <c r="B677" s="16"/>
      <c r="C677" s="8"/>
    </row>
    <row r="678">
      <c r="B678" s="16"/>
      <c r="C678" s="8"/>
    </row>
    <row r="679">
      <c r="B679" s="16"/>
      <c r="C679" s="8"/>
    </row>
    <row r="680">
      <c r="B680" s="16"/>
      <c r="C680" s="8"/>
    </row>
    <row r="681">
      <c r="B681" s="16"/>
      <c r="C681" s="8"/>
    </row>
    <row r="682">
      <c r="B682" s="16"/>
      <c r="C682" s="8"/>
    </row>
    <row r="683">
      <c r="B683" s="16"/>
      <c r="C683" s="8"/>
    </row>
    <row r="684">
      <c r="B684" s="16"/>
      <c r="C684" s="8"/>
    </row>
    <row r="685">
      <c r="B685" s="16"/>
      <c r="C685" s="8"/>
    </row>
    <row r="686">
      <c r="B686" s="16"/>
      <c r="C686" s="8"/>
    </row>
    <row r="687">
      <c r="B687" s="16"/>
      <c r="C687" s="8"/>
    </row>
    <row r="688">
      <c r="B688" s="16"/>
      <c r="C688" s="8"/>
    </row>
    <row r="689">
      <c r="B689" s="16"/>
      <c r="C689" s="8"/>
    </row>
    <row r="690">
      <c r="B690" s="16"/>
      <c r="C690" s="8"/>
    </row>
    <row r="691">
      <c r="B691" s="16"/>
      <c r="C691" s="8"/>
    </row>
    <row r="692">
      <c r="B692" s="16"/>
      <c r="C692" s="8"/>
    </row>
    <row r="693">
      <c r="B693" s="16"/>
      <c r="C693" s="8"/>
    </row>
    <row r="694">
      <c r="B694" s="16"/>
      <c r="C694" s="8"/>
    </row>
    <row r="695">
      <c r="B695" s="16"/>
      <c r="C695" s="8"/>
    </row>
    <row r="696">
      <c r="B696" s="16"/>
      <c r="C696" s="8"/>
    </row>
    <row r="697">
      <c r="B697" s="16"/>
      <c r="C697" s="8"/>
    </row>
    <row r="698">
      <c r="B698" s="16"/>
      <c r="C698" s="8"/>
    </row>
    <row r="699">
      <c r="B699" s="16"/>
      <c r="C699" s="8"/>
    </row>
    <row r="700">
      <c r="B700" s="16"/>
      <c r="C700" s="8"/>
    </row>
    <row r="701">
      <c r="B701" s="16"/>
      <c r="C701" s="8"/>
    </row>
    <row r="702">
      <c r="B702" s="16"/>
      <c r="C702" s="8"/>
    </row>
    <row r="703">
      <c r="B703" s="16"/>
      <c r="C703" s="8"/>
    </row>
    <row r="704">
      <c r="B704" s="16"/>
      <c r="C704" s="8"/>
    </row>
    <row r="705">
      <c r="B705" s="16"/>
      <c r="C705" s="8"/>
    </row>
    <row r="706">
      <c r="B706" s="16"/>
      <c r="C706" s="8"/>
    </row>
    <row r="707">
      <c r="B707" s="16"/>
      <c r="C707" s="8"/>
    </row>
    <row r="708">
      <c r="B708" s="16"/>
      <c r="C708" s="8"/>
    </row>
    <row r="709">
      <c r="B709" s="16"/>
      <c r="C709" s="8"/>
    </row>
    <row r="710">
      <c r="B710" s="16"/>
      <c r="C710" s="8"/>
    </row>
    <row r="711">
      <c r="B711" s="16"/>
      <c r="C711" s="8"/>
    </row>
    <row r="712">
      <c r="B712" s="16"/>
      <c r="C712" s="8"/>
    </row>
    <row r="713">
      <c r="B713" s="16"/>
      <c r="C713" s="8"/>
    </row>
    <row r="714">
      <c r="B714" s="16"/>
      <c r="C714" s="8"/>
    </row>
    <row r="715">
      <c r="B715" s="16"/>
      <c r="C715" s="8"/>
    </row>
    <row r="716">
      <c r="B716" s="16"/>
      <c r="C716" s="8"/>
    </row>
    <row r="717">
      <c r="B717" s="16"/>
      <c r="C717" s="8"/>
    </row>
    <row r="718">
      <c r="B718" s="16"/>
      <c r="C718" s="8"/>
    </row>
    <row r="719">
      <c r="B719" s="16"/>
      <c r="C719" s="8"/>
    </row>
    <row r="720">
      <c r="B720" s="16"/>
      <c r="C720" s="8"/>
    </row>
    <row r="721">
      <c r="B721" s="16"/>
      <c r="C721" s="8"/>
    </row>
    <row r="722">
      <c r="B722" s="16"/>
      <c r="C722" s="8"/>
    </row>
    <row r="723">
      <c r="B723" s="16"/>
      <c r="C723" s="8"/>
    </row>
    <row r="724">
      <c r="B724" s="16"/>
      <c r="C724" s="8"/>
    </row>
    <row r="725">
      <c r="B725" s="16"/>
      <c r="C725" s="8"/>
    </row>
    <row r="726">
      <c r="B726" s="16"/>
      <c r="C726" s="8"/>
    </row>
    <row r="727">
      <c r="B727" s="16"/>
      <c r="C727" s="8"/>
    </row>
    <row r="728">
      <c r="B728" s="16"/>
      <c r="C728" s="8"/>
    </row>
    <row r="729">
      <c r="B729" s="16"/>
      <c r="C729" s="8"/>
    </row>
    <row r="730">
      <c r="B730" s="16"/>
      <c r="C730" s="8"/>
    </row>
    <row r="731">
      <c r="B731" s="16"/>
      <c r="C731" s="8"/>
    </row>
    <row r="732">
      <c r="B732" s="16"/>
      <c r="C732" s="8"/>
    </row>
    <row r="733">
      <c r="B733" s="16"/>
      <c r="C733" s="8"/>
    </row>
    <row r="734">
      <c r="B734" s="16"/>
      <c r="C734" s="8"/>
    </row>
    <row r="735">
      <c r="B735" s="16"/>
      <c r="C735" s="8"/>
    </row>
    <row r="736">
      <c r="B736" s="16"/>
      <c r="C736" s="8"/>
    </row>
    <row r="737">
      <c r="B737" s="16"/>
      <c r="C737" s="8"/>
    </row>
    <row r="738">
      <c r="B738" s="16"/>
      <c r="C738" s="8"/>
    </row>
    <row r="739">
      <c r="B739" s="16"/>
      <c r="C739" s="8"/>
    </row>
    <row r="740">
      <c r="B740" s="16"/>
      <c r="C740" s="8"/>
    </row>
    <row r="741">
      <c r="B741" s="16"/>
      <c r="C741" s="8"/>
    </row>
    <row r="742">
      <c r="B742" s="16"/>
      <c r="C742" s="8"/>
    </row>
    <row r="743">
      <c r="B743" s="16"/>
      <c r="C743" s="8"/>
    </row>
    <row r="744">
      <c r="B744" s="16"/>
      <c r="C744" s="8"/>
    </row>
    <row r="745">
      <c r="B745" s="16"/>
      <c r="C745" s="8"/>
    </row>
    <row r="746">
      <c r="B746" s="16"/>
      <c r="C746" s="8"/>
    </row>
    <row r="747">
      <c r="B747" s="16"/>
      <c r="C747" s="8"/>
    </row>
    <row r="748">
      <c r="B748" s="16"/>
      <c r="C748" s="8"/>
    </row>
    <row r="749">
      <c r="B749" s="16"/>
      <c r="C749" s="8"/>
    </row>
    <row r="750">
      <c r="B750" s="16"/>
      <c r="C750" s="8"/>
    </row>
    <row r="751">
      <c r="B751" s="16"/>
      <c r="C751" s="8"/>
    </row>
    <row r="752">
      <c r="B752" s="16"/>
      <c r="C752" s="8"/>
    </row>
    <row r="753">
      <c r="B753" s="16"/>
      <c r="C753" s="8"/>
    </row>
    <row r="754">
      <c r="B754" s="16"/>
      <c r="C754" s="8"/>
    </row>
    <row r="755">
      <c r="B755" s="16"/>
      <c r="C755" s="8"/>
    </row>
    <row r="756">
      <c r="B756" s="16"/>
      <c r="C756" s="8"/>
    </row>
    <row r="757">
      <c r="B757" s="16"/>
      <c r="C757" s="8"/>
    </row>
    <row r="758">
      <c r="B758" s="16"/>
      <c r="C758" s="8"/>
    </row>
    <row r="759">
      <c r="B759" s="16"/>
      <c r="C759" s="8"/>
    </row>
    <row r="760">
      <c r="B760" s="16"/>
      <c r="C760" s="8"/>
    </row>
    <row r="761">
      <c r="B761" s="16"/>
      <c r="C761" s="8"/>
    </row>
    <row r="762">
      <c r="B762" s="16"/>
      <c r="C762" s="8"/>
    </row>
    <row r="763">
      <c r="B763" s="16"/>
      <c r="C763" s="8"/>
    </row>
    <row r="764">
      <c r="B764" s="16"/>
      <c r="C764" s="8"/>
    </row>
    <row r="765">
      <c r="B765" s="16"/>
      <c r="C765" s="8"/>
    </row>
    <row r="766">
      <c r="B766" s="16"/>
      <c r="C766" s="8"/>
    </row>
    <row r="767">
      <c r="B767" s="16"/>
      <c r="C767" s="8"/>
    </row>
    <row r="768">
      <c r="B768" s="16"/>
      <c r="C768" s="8"/>
    </row>
    <row r="769">
      <c r="B769" s="16"/>
      <c r="C769" s="8"/>
    </row>
    <row r="770">
      <c r="B770" s="16"/>
      <c r="C770" s="8"/>
    </row>
    <row r="771">
      <c r="B771" s="16"/>
      <c r="C771" s="8"/>
    </row>
    <row r="772">
      <c r="B772" s="16"/>
      <c r="C772" s="8"/>
    </row>
    <row r="773">
      <c r="B773" s="16"/>
      <c r="C773" s="8"/>
    </row>
    <row r="774">
      <c r="B774" s="16"/>
      <c r="C774" s="8"/>
    </row>
    <row r="775">
      <c r="B775" s="16"/>
      <c r="C775" s="8"/>
    </row>
    <row r="776">
      <c r="B776" s="16"/>
      <c r="C776" s="8"/>
    </row>
    <row r="777">
      <c r="B777" s="16"/>
      <c r="C777" s="8"/>
    </row>
    <row r="778">
      <c r="B778" s="16"/>
      <c r="C778" s="8"/>
    </row>
    <row r="779">
      <c r="B779" s="16"/>
      <c r="C779" s="8"/>
    </row>
    <row r="780">
      <c r="B780" s="16"/>
      <c r="C780" s="8"/>
    </row>
    <row r="781">
      <c r="B781" s="16"/>
      <c r="C781" s="8"/>
    </row>
    <row r="782">
      <c r="B782" s="16"/>
      <c r="C782" s="8"/>
    </row>
    <row r="783">
      <c r="B783" s="16"/>
      <c r="C783" s="8"/>
    </row>
    <row r="784">
      <c r="B784" s="16"/>
      <c r="C784" s="8"/>
    </row>
    <row r="785">
      <c r="B785" s="16"/>
      <c r="C785" s="8"/>
    </row>
    <row r="786">
      <c r="B786" s="16"/>
      <c r="C786" s="8"/>
    </row>
    <row r="787">
      <c r="B787" s="16"/>
      <c r="C787" s="8"/>
    </row>
    <row r="788">
      <c r="B788" s="16"/>
      <c r="C788" s="8"/>
    </row>
    <row r="789">
      <c r="B789" s="16"/>
      <c r="C789" s="8"/>
    </row>
    <row r="790">
      <c r="B790" s="16"/>
      <c r="C790" s="8"/>
    </row>
    <row r="791">
      <c r="B791" s="16"/>
      <c r="C791" s="8"/>
    </row>
    <row r="792">
      <c r="B792" s="16"/>
      <c r="C792" s="8"/>
    </row>
    <row r="793">
      <c r="B793" s="16"/>
      <c r="C793" s="8"/>
    </row>
    <row r="794">
      <c r="B794" s="16"/>
      <c r="C794" s="8"/>
    </row>
    <row r="795">
      <c r="B795" s="16"/>
      <c r="C795" s="8"/>
    </row>
    <row r="796">
      <c r="B796" s="16"/>
      <c r="C796" s="8"/>
    </row>
    <row r="797">
      <c r="B797" s="16"/>
      <c r="C797" s="8"/>
    </row>
    <row r="798">
      <c r="B798" s="16"/>
      <c r="C798" s="8"/>
    </row>
    <row r="799">
      <c r="B799" s="16"/>
      <c r="C799" s="8"/>
    </row>
    <row r="800">
      <c r="B800" s="16"/>
      <c r="C800" s="8"/>
    </row>
    <row r="801">
      <c r="B801" s="16"/>
      <c r="C801" s="8"/>
    </row>
    <row r="802">
      <c r="B802" s="16"/>
      <c r="C802" s="8"/>
    </row>
    <row r="803">
      <c r="B803" s="16"/>
      <c r="C803" s="8"/>
    </row>
    <row r="804">
      <c r="B804" s="16"/>
      <c r="C804" s="8"/>
    </row>
    <row r="805">
      <c r="B805" s="16"/>
      <c r="C805" s="8"/>
    </row>
    <row r="806">
      <c r="B806" s="16"/>
      <c r="C806" s="8"/>
    </row>
    <row r="807">
      <c r="B807" s="16"/>
      <c r="C807" s="8"/>
    </row>
    <row r="808">
      <c r="B808" s="16"/>
      <c r="C808" s="8"/>
    </row>
    <row r="809">
      <c r="B809" s="16"/>
      <c r="C809" s="8"/>
    </row>
    <row r="810">
      <c r="B810" s="16"/>
      <c r="C810" s="8"/>
    </row>
    <row r="811">
      <c r="B811" s="16"/>
      <c r="C811" s="8"/>
    </row>
    <row r="812">
      <c r="B812" s="16"/>
      <c r="C812" s="8"/>
    </row>
    <row r="813">
      <c r="B813" s="16"/>
      <c r="C813" s="8"/>
    </row>
    <row r="814">
      <c r="B814" s="16"/>
      <c r="C814" s="8"/>
    </row>
    <row r="815">
      <c r="B815" s="16"/>
      <c r="C815" s="8"/>
    </row>
    <row r="816">
      <c r="B816" s="16"/>
      <c r="C816" s="8"/>
    </row>
    <row r="817">
      <c r="B817" s="16"/>
      <c r="C817" s="8"/>
    </row>
    <row r="818">
      <c r="B818" s="16"/>
      <c r="C818" s="8"/>
    </row>
    <row r="819">
      <c r="B819" s="16"/>
      <c r="C819" s="8"/>
    </row>
    <row r="820">
      <c r="B820" s="16"/>
      <c r="C820" s="8"/>
    </row>
    <row r="821">
      <c r="B821" s="16"/>
      <c r="C821" s="8"/>
    </row>
    <row r="822">
      <c r="B822" s="16"/>
      <c r="C822" s="8"/>
    </row>
    <row r="823">
      <c r="B823" s="16"/>
      <c r="C823" s="8"/>
    </row>
    <row r="824">
      <c r="B824" s="16"/>
      <c r="C824" s="8"/>
    </row>
    <row r="825">
      <c r="B825" s="16"/>
      <c r="C825" s="8"/>
    </row>
    <row r="826">
      <c r="B826" s="16"/>
      <c r="C826" s="8"/>
    </row>
    <row r="827">
      <c r="B827" s="16"/>
      <c r="C827" s="8"/>
    </row>
    <row r="828">
      <c r="B828" s="16"/>
      <c r="C828" s="8"/>
    </row>
    <row r="829">
      <c r="B829" s="16"/>
      <c r="C829" s="8"/>
    </row>
    <row r="830">
      <c r="B830" s="16"/>
      <c r="C830" s="8"/>
    </row>
    <row r="831">
      <c r="B831" s="16"/>
      <c r="C831" s="8"/>
    </row>
    <row r="832">
      <c r="B832" s="16"/>
      <c r="C832" s="8"/>
    </row>
    <row r="833">
      <c r="B833" s="16"/>
      <c r="C833" s="8"/>
    </row>
    <row r="834">
      <c r="B834" s="16"/>
      <c r="C834" s="8"/>
    </row>
    <row r="835">
      <c r="B835" s="16"/>
      <c r="C835" s="8"/>
    </row>
    <row r="836">
      <c r="B836" s="16"/>
      <c r="C836" s="8"/>
    </row>
    <row r="837">
      <c r="B837" s="16"/>
      <c r="C837" s="8"/>
    </row>
    <row r="838">
      <c r="B838" s="16"/>
      <c r="C838" s="8"/>
    </row>
    <row r="839">
      <c r="B839" s="16"/>
      <c r="C839" s="8"/>
    </row>
    <row r="840">
      <c r="B840" s="16"/>
      <c r="C840" s="8"/>
    </row>
    <row r="841">
      <c r="B841" s="16"/>
      <c r="C841" s="8"/>
    </row>
    <row r="842">
      <c r="B842" s="16"/>
      <c r="C842" s="8"/>
    </row>
    <row r="843">
      <c r="B843" s="16"/>
      <c r="C843" s="8"/>
    </row>
    <row r="844">
      <c r="B844" s="16"/>
      <c r="C844" s="8"/>
    </row>
    <row r="845">
      <c r="B845" s="16"/>
      <c r="C845" s="8"/>
    </row>
    <row r="846">
      <c r="B846" s="16"/>
      <c r="C846" s="8"/>
    </row>
    <row r="847">
      <c r="B847" s="16"/>
      <c r="C847" s="8"/>
    </row>
    <row r="848">
      <c r="B848" s="16"/>
      <c r="C848" s="8"/>
    </row>
    <row r="849">
      <c r="B849" s="16"/>
      <c r="C849" s="8"/>
    </row>
    <row r="850">
      <c r="B850" s="16"/>
      <c r="C850" s="8"/>
    </row>
    <row r="851">
      <c r="B851" s="16"/>
      <c r="C851" s="8"/>
    </row>
    <row r="852">
      <c r="B852" s="16"/>
      <c r="C852" s="8"/>
    </row>
    <row r="853">
      <c r="B853" s="16"/>
      <c r="C853" s="8"/>
    </row>
    <row r="854">
      <c r="B854" s="16"/>
      <c r="C854" s="8"/>
    </row>
    <row r="855">
      <c r="B855" s="16"/>
      <c r="C855" s="8"/>
    </row>
    <row r="856">
      <c r="B856" s="16"/>
      <c r="C856" s="8"/>
    </row>
    <row r="857">
      <c r="B857" s="16"/>
      <c r="C857" s="8"/>
    </row>
    <row r="858">
      <c r="B858" s="16"/>
      <c r="C858" s="8"/>
    </row>
    <row r="859">
      <c r="B859" s="16"/>
      <c r="C859" s="8"/>
    </row>
    <row r="860">
      <c r="B860" s="16"/>
      <c r="C860" s="8"/>
    </row>
    <row r="861">
      <c r="B861" s="16"/>
      <c r="C861" s="8"/>
    </row>
    <row r="862">
      <c r="B862" s="16"/>
      <c r="C862" s="8"/>
    </row>
    <row r="863">
      <c r="B863" s="16"/>
      <c r="C863" s="8"/>
    </row>
    <row r="864">
      <c r="B864" s="16"/>
      <c r="C864" s="8"/>
    </row>
    <row r="865">
      <c r="B865" s="16"/>
      <c r="C865" s="8"/>
    </row>
    <row r="866">
      <c r="B866" s="16"/>
      <c r="C866" s="8"/>
    </row>
    <row r="867">
      <c r="B867" s="16"/>
      <c r="C867" s="8"/>
    </row>
    <row r="868">
      <c r="B868" s="16"/>
      <c r="C868" s="8"/>
    </row>
    <row r="869">
      <c r="B869" s="16"/>
      <c r="C869" s="8"/>
    </row>
    <row r="870">
      <c r="B870" s="16"/>
      <c r="C870" s="8"/>
    </row>
    <row r="871">
      <c r="B871" s="16"/>
      <c r="C871" s="8"/>
    </row>
    <row r="872">
      <c r="B872" s="16"/>
      <c r="C872" s="8"/>
    </row>
    <row r="873">
      <c r="B873" s="16"/>
      <c r="C873" s="8"/>
    </row>
    <row r="874">
      <c r="B874" s="16"/>
      <c r="C874" s="8"/>
    </row>
    <row r="875">
      <c r="B875" s="16"/>
      <c r="C875" s="8"/>
    </row>
    <row r="876">
      <c r="B876" s="16"/>
      <c r="C876" s="8"/>
    </row>
    <row r="877">
      <c r="B877" s="16"/>
      <c r="C877" s="8"/>
    </row>
    <row r="878">
      <c r="B878" s="16"/>
      <c r="C878" s="8"/>
    </row>
    <row r="879">
      <c r="B879" s="16"/>
      <c r="C879" s="8"/>
    </row>
    <row r="880">
      <c r="B880" s="16"/>
      <c r="C880" s="8"/>
    </row>
    <row r="881">
      <c r="B881" s="16"/>
      <c r="C881" s="8"/>
    </row>
    <row r="882">
      <c r="B882" s="16"/>
      <c r="C882" s="8"/>
    </row>
    <row r="883">
      <c r="B883" s="16"/>
      <c r="C883" s="8"/>
    </row>
    <row r="884">
      <c r="B884" s="16"/>
      <c r="C884" s="8"/>
    </row>
    <row r="885">
      <c r="B885" s="16"/>
      <c r="C885" s="8"/>
    </row>
    <row r="886">
      <c r="B886" s="16"/>
      <c r="C886" s="8"/>
    </row>
    <row r="887">
      <c r="B887" s="16"/>
      <c r="C887" s="8"/>
    </row>
    <row r="888">
      <c r="B888" s="16"/>
      <c r="C888" s="8"/>
    </row>
    <row r="889">
      <c r="B889" s="16"/>
      <c r="C889" s="8"/>
    </row>
    <row r="890">
      <c r="B890" s="16"/>
      <c r="C890" s="8"/>
    </row>
    <row r="891">
      <c r="B891" s="16"/>
      <c r="C891" s="8"/>
    </row>
    <row r="892">
      <c r="B892" s="16"/>
      <c r="C892" s="8"/>
    </row>
    <row r="893">
      <c r="B893" s="16"/>
      <c r="C893" s="8"/>
    </row>
    <row r="894">
      <c r="B894" s="16"/>
      <c r="C894" s="8"/>
    </row>
    <row r="895">
      <c r="B895" s="16"/>
      <c r="C895" s="8"/>
    </row>
    <row r="896">
      <c r="B896" s="16"/>
      <c r="C896" s="8"/>
    </row>
    <row r="897">
      <c r="B897" s="16"/>
      <c r="C897" s="8"/>
    </row>
    <row r="898">
      <c r="B898" s="16"/>
      <c r="C898" s="8"/>
    </row>
    <row r="899">
      <c r="B899" s="16"/>
      <c r="C899" s="8"/>
    </row>
    <row r="900">
      <c r="B900" s="16"/>
      <c r="C900" s="8"/>
    </row>
    <row r="901">
      <c r="B901" s="16"/>
      <c r="C901" s="8"/>
    </row>
    <row r="902">
      <c r="B902" s="16"/>
      <c r="C902" s="8"/>
    </row>
    <row r="903">
      <c r="B903" s="16"/>
      <c r="C903" s="8"/>
    </row>
    <row r="904">
      <c r="B904" s="16"/>
      <c r="C904" s="8"/>
    </row>
    <row r="905">
      <c r="B905" s="16"/>
      <c r="C905" s="8"/>
    </row>
    <row r="906">
      <c r="B906" s="16"/>
      <c r="C906" s="8"/>
    </row>
    <row r="907">
      <c r="B907" s="16"/>
      <c r="C907" s="8"/>
    </row>
    <row r="908">
      <c r="B908" s="16"/>
      <c r="C908" s="8"/>
    </row>
    <row r="909">
      <c r="B909" s="16"/>
      <c r="C909" s="8"/>
    </row>
    <row r="910">
      <c r="B910" s="16"/>
      <c r="C910" s="8"/>
    </row>
    <row r="911">
      <c r="B911" s="16"/>
      <c r="C911" s="8"/>
    </row>
    <row r="912">
      <c r="B912" s="16"/>
      <c r="C912" s="8"/>
    </row>
    <row r="913">
      <c r="B913" s="16"/>
      <c r="C913" s="8"/>
    </row>
    <row r="914">
      <c r="B914" s="16"/>
      <c r="C914" s="8"/>
    </row>
    <row r="915">
      <c r="B915" s="16"/>
      <c r="C915" s="8"/>
    </row>
    <row r="916">
      <c r="B916" s="16"/>
      <c r="C916" s="8"/>
    </row>
    <row r="917">
      <c r="B917" s="16"/>
      <c r="C917" s="8"/>
    </row>
    <row r="918">
      <c r="B918" s="16"/>
      <c r="C918" s="8"/>
    </row>
    <row r="919">
      <c r="B919" s="16"/>
      <c r="C919" s="8"/>
    </row>
    <row r="920">
      <c r="B920" s="16"/>
      <c r="C920" s="8"/>
    </row>
    <row r="921">
      <c r="B921" s="16"/>
      <c r="C921" s="8"/>
    </row>
    <row r="922">
      <c r="B922" s="16"/>
      <c r="C922" s="8"/>
    </row>
    <row r="923">
      <c r="B923" s="16"/>
      <c r="C923" s="8"/>
    </row>
    <row r="924">
      <c r="B924" s="16"/>
      <c r="C924" s="8"/>
    </row>
    <row r="925">
      <c r="B925" s="16"/>
      <c r="C925" s="8"/>
    </row>
    <row r="926">
      <c r="B926" s="16"/>
      <c r="C926" s="8"/>
    </row>
    <row r="927">
      <c r="B927" s="16"/>
      <c r="C927" s="8"/>
    </row>
    <row r="928">
      <c r="B928" s="16"/>
      <c r="C928" s="8"/>
    </row>
    <row r="929">
      <c r="B929" s="16"/>
      <c r="C929" s="8"/>
    </row>
    <row r="930">
      <c r="B930" s="16"/>
      <c r="C930" s="8"/>
    </row>
    <row r="931">
      <c r="B931" s="16"/>
      <c r="C931" s="8"/>
    </row>
    <row r="932">
      <c r="B932" s="16"/>
      <c r="C932" s="8"/>
    </row>
    <row r="933">
      <c r="B933" s="16"/>
      <c r="C933" s="8"/>
    </row>
    <row r="934">
      <c r="B934" s="16"/>
      <c r="C934" s="8"/>
    </row>
    <row r="935">
      <c r="B935" s="16"/>
      <c r="C935" s="8"/>
    </row>
    <row r="936">
      <c r="B936" s="16"/>
      <c r="C936" s="8"/>
    </row>
    <row r="937">
      <c r="B937" s="16"/>
      <c r="C937" s="8"/>
    </row>
    <row r="938">
      <c r="B938" s="16"/>
      <c r="C938" s="8"/>
    </row>
    <row r="939">
      <c r="B939" s="16"/>
      <c r="C939" s="8"/>
    </row>
    <row r="940">
      <c r="B940" s="16"/>
      <c r="C940" s="8"/>
    </row>
    <row r="941">
      <c r="B941" s="16"/>
      <c r="C941" s="8"/>
    </row>
    <row r="942">
      <c r="B942" s="16"/>
      <c r="C942" s="8"/>
    </row>
    <row r="943">
      <c r="B943" s="16"/>
      <c r="C943" s="8"/>
    </row>
    <row r="944">
      <c r="B944" s="16"/>
      <c r="C944" s="8"/>
    </row>
    <row r="945">
      <c r="B945" s="16"/>
      <c r="C945" s="8"/>
    </row>
    <row r="946">
      <c r="B946" s="16"/>
      <c r="C946" s="8"/>
    </row>
    <row r="947">
      <c r="B947" s="16"/>
      <c r="C947" s="8"/>
    </row>
    <row r="948">
      <c r="B948" s="16"/>
      <c r="C948" s="8"/>
    </row>
    <row r="949">
      <c r="B949" s="16"/>
      <c r="C949" s="8"/>
    </row>
    <row r="950">
      <c r="B950" s="16"/>
      <c r="C950" s="8"/>
    </row>
    <row r="951">
      <c r="B951" s="16"/>
      <c r="C951" s="8"/>
    </row>
    <row r="952">
      <c r="B952" s="16"/>
      <c r="C952" s="8"/>
    </row>
    <row r="953">
      <c r="B953" s="16"/>
      <c r="C953" s="8"/>
    </row>
    <row r="954">
      <c r="B954" s="16"/>
      <c r="C954" s="8"/>
    </row>
    <row r="955">
      <c r="B955" s="16"/>
      <c r="C955" s="8"/>
    </row>
    <row r="956">
      <c r="B956" s="16"/>
      <c r="C956" s="8"/>
    </row>
    <row r="957">
      <c r="B957" s="16"/>
      <c r="C957" s="8"/>
    </row>
    <row r="958">
      <c r="B958" s="16"/>
      <c r="C958" s="8"/>
    </row>
    <row r="959">
      <c r="B959" s="16"/>
      <c r="C959" s="8"/>
    </row>
    <row r="960">
      <c r="B960" s="16"/>
      <c r="C960" s="8"/>
    </row>
    <row r="961">
      <c r="B961" s="16"/>
      <c r="C961" s="8"/>
    </row>
    <row r="962">
      <c r="B962" s="16"/>
      <c r="C962" s="8"/>
    </row>
    <row r="963">
      <c r="B963" s="16"/>
      <c r="C963" s="8"/>
    </row>
    <row r="964">
      <c r="B964" s="16"/>
      <c r="C964" s="8"/>
    </row>
    <row r="965">
      <c r="B965" s="16"/>
      <c r="C965" s="8"/>
    </row>
    <row r="966">
      <c r="B966" s="16"/>
      <c r="C966" s="8"/>
    </row>
    <row r="967">
      <c r="B967" s="16"/>
      <c r="C967" s="8"/>
    </row>
    <row r="968">
      <c r="B968" s="16"/>
      <c r="C968" s="8"/>
    </row>
    <row r="969">
      <c r="B969" s="16"/>
      <c r="C969" s="8"/>
    </row>
    <row r="970">
      <c r="B970" s="16"/>
      <c r="C970" s="8"/>
    </row>
    <row r="971">
      <c r="B971" s="16"/>
      <c r="C971" s="8"/>
    </row>
    <row r="972">
      <c r="B972" s="16"/>
      <c r="C972" s="8"/>
    </row>
    <row r="973">
      <c r="B973" s="16"/>
      <c r="C973" s="8"/>
    </row>
    <row r="974">
      <c r="B974" s="16"/>
      <c r="C974" s="8"/>
    </row>
    <row r="975">
      <c r="B975" s="16"/>
      <c r="C975" s="8"/>
    </row>
    <row r="976">
      <c r="B976" s="16"/>
      <c r="C976" s="8"/>
    </row>
    <row r="977">
      <c r="B977" s="16"/>
      <c r="C977" s="8"/>
    </row>
    <row r="978">
      <c r="B978" s="16"/>
      <c r="C978" s="8"/>
    </row>
    <row r="979">
      <c r="B979" s="16"/>
      <c r="C979" s="8"/>
    </row>
    <row r="980">
      <c r="B980" s="16"/>
      <c r="C980" s="8"/>
    </row>
    <row r="981">
      <c r="B981" s="16"/>
      <c r="C981" s="8"/>
    </row>
    <row r="982">
      <c r="B982" s="16"/>
      <c r="C982" s="8"/>
    </row>
    <row r="983">
      <c r="B983" s="16"/>
      <c r="C983" s="8"/>
    </row>
    <row r="984">
      <c r="B984" s="16"/>
      <c r="C984" s="8"/>
    </row>
    <row r="985">
      <c r="B985" s="16"/>
      <c r="C985" s="8"/>
    </row>
    <row r="986">
      <c r="B986" s="16"/>
      <c r="C986" s="8"/>
    </row>
    <row r="987">
      <c r="B987" s="16"/>
      <c r="C987" s="8"/>
    </row>
    <row r="988">
      <c r="B988" s="16"/>
      <c r="C988" s="8"/>
    </row>
    <row r="989">
      <c r="B989" s="16"/>
      <c r="C989" s="8"/>
    </row>
    <row r="990">
      <c r="B990" s="16"/>
      <c r="C990" s="8"/>
    </row>
    <row r="991">
      <c r="B991" s="16"/>
      <c r="C991" s="8"/>
    </row>
    <row r="992">
      <c r="B992" s="16"/>
      <c r="C992" s="8"/>
    </row>
    <row r="993">
      <c r="B993" s="16"/>
      <c r="C993" s="8"/>
    </row>
    <row r="994">
      <c r="B994" s="16"/>
      <c r="C994" s="8"/>
    </row>
    <row r="995">
      <c r="B995" s="16"/>
      <c r="C995" s="8"/>
    </row>
    <row r="996">
      <c r="B996" s="16"/>
      <c r="C996" s="8"/>
    </row>
    <row r="997">
      <c r="B997" s="16"/>
      <c r="C997" s="8"/>
    </row>
    <row r="998">
      <c r="B998" s="16"/>
      <c r="C998" s="8"/>
    </row>
    <row r="999">
      <c r="B999" s="16"/>
      <c r="C999" s="8"/>
    </row>
    <row r="1000">
      <c r="B1000" s="16"/>
      <c r="C1000" s="8"/>
    </row>
    <row r="1001">
      <c r="B1001" s="16"/>
      <c r="C1001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7" t="s">
        <v>29</v>
      </c>
    </row>
    <row r="2">
      <c r="A2" s="2">
        <v>41640.0</v>
      </c>
      <c r="B2" s="16">
        <f t="array" ref="B2:B45">TRANSPOSE(D2:AU2)</f>
        <v>9.5</v>
      </c>
      <c r="D2" s="17">
        <v>9.5</v>
      </c>
      <c r="E2" s="17">
        <v>10.1</v>
      </c>
      <c r="F2" s="17">
        <v>8.9</v>
      </c>
      <c r="G2" s="17">
        <v>9.8</v>
      </c>
      <c r="H2" s="17">
        <v>5.5</v>
      </c>
      <c r="I2" s="17">
        <v>6.0</v>
      </c>
      <c r="J2" s="17">
        <v>4.9</v>
      </c>
      <c r="K2" s="17">
        <v>5.8</v>
      </c>
      <c r="L2" s="17">
        <v>7.3</v>
      </c>
      <c r="M2" s="17">
        <v>8.5</v>
      </c>
      <c r="N2" s="17">
        <v>9.4</v>
      </c>
      <c r="O2" s="17">
        <v>8.8</v>
      </c>
      <c r="P2" s="17">
        <v>9.0</v>
      </c>
      <c r="Q2" s="17">
        <v>9.6</v>
      </c>
      <c r="R2" s="17">
        <v>10.2</v>
      </c>
      <c r="S2" s="17">
        <v>8.9</v>
      </c>
      <c r="T2" s="17">
        <v>9.5</v>
      </c>
      <c r="U2" s="17">
        <v>10.0</v>
      </c>
      <c r="V2" s="17">
        <v>10.8</v>
      </c>
      <c r="W2" s="17">
        <v>10.9</v>
      </c>
      <c r="X2" s="17">
        <v>7.9</v>
      </c>
      <c r="Y2" s="17">
        <v>6.5</v>
      </c>
      <c r="Z2" s="17">
        <v>6.2</v>
      </c>
      <c r="AA2" s="17">
        <v>6.9</v>
      </c>
      <c r="AB2" s="17">
        <v>0.5</v>
      </c>
      <c r="AC2" s="17">
        <v>-15.0</v>
      </c>
      <c r="AD2" s="17">
        <v>-11.0</v>
      </c>
      <c r="AE2" s="17">
        <v>-6.2</v>
      </c>
      <c r="AF2" s="17">
        <v>-1.7</v>
      </c>
      <c r="AG2" s="17">
        <v>15.2</v>
      </c>
      <c r="AH2" s="17">
        <v>9.5</v>
      </c>
      <c r="AI2" s="17">
        <v>9.8</v>
      </c>
      <c r="AJ2" s="17">
        <v>12.7</v>
      </c>
      <c r="AK2" s="17">
        <v>13.2</v>
      </c>
      <c r="AL2" s="17">
        <v>14.0</v>
      </c>
      <c r="AM2" s="17">
        <v>13.9</v>
      </c>
      <c r="AN2" s="17">
        <v>13.9</v>
      </c>
      <c r="AO2" s="17">
        <v>9.1</v>
      </c>
      <c r="AP2" s="17">
        <v>9.7</v>
      </c>
      <c r="AQ2" s="17">
        <v>9.3</v>
      </c>
      <c r="AR2" s="17">
        <v>9.0</v>
      </c>
      <c r="AS2" s="17">
        <v>10.3</v>
      </c>
      <c r="AT2" s="17">
        <v>8.6</v>
      </c>
      <c r="AU2" s="17">
        <v>7.5</v>
      </c>
    </row>
    <row r="3">
      <c r="A3" s="2">
        <v>41730.0</v>
      </c>
      <c r="B3" s="16">
        <v>10.1</v>
      </c>
    </row>
    <row r="4">
      <c r="A4" s="2">
        <v>41821.0</v>
      </c>
      <c r="B4" s="16">
        <v>8.9</v>
      </c>
    </row>
    <row r="5">
      <c r="A5" s="2">
        <v>41913.0</v>
      </c>
      <c r="B5" s="16">
        <v>9.8</v>
      </c>
    </row>
    <row r="6">
      <c r="A6" s="2">
        <v>42005.0</v>
      </c>
      <c r="B6" s="16">
        <v>5.5</v>
      </c>
    </row>
    <row r="7">
      <c r="A7" s="2">
        <v>42095.0</v>
      </c>
      <c r="B7" s="16">
        <v>6.0</v>
      </c>
    </row>
    <row r="8">
      <c r="A8" s="2">
        <v>42186.0</v>
      </c>
      <c r="B8" s="16">
        <v>4.9</v>
      </c>
    </row>
    <row r="9">
      <c r="A9" s="2">
        <v>42278.0</v>
      </c>
      <c r="B9" s="16">
        <v>5.8</v>
      </c>
    </row>
    <row r="10">
      <c r="A10" s="2">
        <v>42370.0</v>
      </c>
      <c r="B10" s="16">
        <v>7.3</v>
      </c>
    </row>
    <row r="11">
      <c r="A11" s="2">
        <v>42461.0</v>
      </c>
      <c r="B11" s="16">
        <v>8.5</v>
      </c>
    </row>
    <row r="12">
      <c r="A12" s="2">
        <v>42552.0</v>
      </c>
      <c r="B12" s="16">
        <v>9.4</v>
      </c>
    </row>
    <row r="13">
      <c r="A13" s="2">
        <v>42644.0</v>
      </c>
      <c r="B13" s="16">
        <v>8.8</v>
      </c>
    </row>
    <row r="14">
      <c r="A14" s="2">
        <v>42736.0</v>
      </c>
      <c r="B14" s="16">
        <v>9.0</v>
      </c>
    </row>
    <row r="15">
      <c r="A15" s="2">
        <v>42826.0</v>
      </c>
      <c r="B15" s="16">
        <v>9.6</v>
      </c>
    </row>
    <row r="16">
      <c r="A16" s="2">
        <v>42917.0</v>
      </c>
      <c r="B16" s="16">
        <v>10.2</v>
      </c>
    </row>
    <row r="17">
      <c r="A17" s="2">
        <v>43009.0</v>
      </c>
      <c r="B17" s="16">
        <v>8.9</v>
      </c>
    </row>
    <row r="18">
      <c r="A18" s="2">
        <v>43101.0</v>
      </c>
      <c r="B18" s="16">
        <v>9.5</v>
      </c>
    </row>
    <row r="19">
      <c r="A19" s="2">
        <v>43191.0</v>
      </c>
      <c r="B19" s="16">
        <v>10.0</v>
      </c>
    </row>
    <row r="20">
      <c r="A20" s="2">
        <v>43282.0</v>
      </c>
      <c r="B20" s="16">
        <v>10.8</v>
      </c>
    </row>
    <row r="21">
      <c r="A21" s="2">
        <v>43374.0</v>
      </c>
      <c r="B21" s="16">
        <v>10.9</v>
      </c>
    </row>
    <row r="22">
      <c r="A22" s="2">
        <v>43466.0</v>
      </c>
      <c r="B22" s="16">
        <v>7.9</v>
      </c>
    </row>
    <row r="23">
      <c r="A23" s="2">
        <v>43556.0</v>
      </c>
      <c r="B23" s="16">
        <v>6.5</v>
      </c>
    </row>
    <row r="24">
      <c r="A24" s="2">
        <v>43647.0</v>
      </c>
      <c r="B24" s="16">
        <v>6.2</v>
      </c>
    </row>
    <row r="25">
      <c r="A25" s="2">
        <v>43739.0</v>
      </c>
      <c r="B25" s="16">
        <v>6.9</v>
      </c>
    </row>
    <row r="26">
      <c r="A26" s="2">
        <v>43831.0</v>
      </c>
      <c r="B26" s="16">
        <v>0.5</v>
      </c>
    </row>
    <row r="27">
      <c r="A27" s="2">
        <v>43922.0</v>
      </c>
      <c r="B27" s="16">
        <v>-15.0</v>
      </c>
    </row>
    <row r="28">
      <c r="A28" s="2">
        <v>44013.0</v>
      </c>
      <c r="B28" s="16">
        <v>-11.0</v>
      </c>
    </row>
    <row r="29">
      <c r="A29" s="2">
        <v>44105.0</v>
      </c>
      <c r="B29" s="16">
        <v>-6.2</v>
      </c>
    </row>
    <row r="30">
      <c r="A30" s="2">
        <v>44197.0</v>
      </c>
      <c r="B30" s="16">
        <v>-1.7</v>
      </c>
    </row>
    <row r="31">
      <c r="A31" s="2">
        <v>44287.0</v>
      </c>
      <c r="B31" s="16">
        <v>15.2</v>
      </c>
    </row>
    <row r="32">
      <c r="A32" s="2">
        <v>44378.0</v>
      </c>
      <c r="B32" s="16">
        <v>9.5</v>
      </c>
    </row>
    <row r="33">
      <c r="A33" s="2">
        <v>44470.0</v>
      </c>
      <c r="B33" s="16">
        <v>9.8</v>
      </c>
    </row>
    <row r="34">
      <c r="A34" s="2">
        <v>44562.0</v>
      </c>
      <c r="B34" s="16">
        <v>12.7</v>
      </c>
    </row>
    <row r="35">
      <c r="A35" s="2">
        <v>44652.0</v>
      </c>
      <c r="B35" s="16">
        <v>13.2</v>
      </c>
    </row>
    <row r="36">
      <c r="A36" s="2">
        <v>44743.0</v>
      </c>
      <c r="B36" s="16">
        <v>14.0</v>
      </c>
    </row>
    <row r="37">
      <c r="A37" s="2">
        <v>44835.0</v>
      </c>
      <c r="B37" s="16">
        <v>13.9</v>
      </c>
    </row>
    <row r="38">
      <c r="A38" s="2">
        <v>44927.0</v>
      </c>
      <c r="B38" s="16">
        <v>13.9</v>
      </c>
    </row>
    <row r="39">
      <c r="A39" s="2">
        <v>45017.0</v>
      </c>
      <c r="B39" s="16">
        <v>9.1</v>
      </c>
    </row>
    <row r="40">
      <c r="A40" s="2">
        <v>45108.0</v>
      </c>
      <c r="B40" s="16">
        <v>9.7</v>
      </c>
    </row>
    <row r="41">
      <c r="A41" s="2">
        <v>45200.0</v>
      </c>
      <c r="B41" s="16">
        <v>9.3</v>
      </c>
    </row>
    <row r="42">
      <c r="A42" s="2">
        <v>45292.0</v>
      </c>
      <c r="B42" s="16">
        <v>9.0</v>
      </c>
    </row>
    <row r="43">
      <c r="A43" s="2">
        <v>45383.0</v>
      </c>
      <c r="B43" s="16">
        <v>10.3</v>
      </c>
    </row>
    <row r="44">
      <c r="A44" s="2">
        <v>45474.0</v>
      </c>
      <c r="B44" s="16">
        <v>8.6</v>
      </c>
    </row>
    <row r="45">
      <c r="A45" s="2">
        <v>45566.0</v>
      </c>
      <c r="B45" s="16">
        <v>7.5</v>
      </c>
    </row>
    <row r="46">
      <c r="A46" s="2"/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16"/>
    </row>
    <row r="69">
      <c r="B69" s="16"/>
    </row>
    <row r="70">
      <c r="B70" s="16"/>
    </row>
    <row r="71">
      <c r="B71" s="16"/>
    </row>
    <row r="72">
      <c r="B72" s="16"/>
    </row>
    <row r="73">
      <c r="B73" s="16"/>
    </row>
    <row r="74">
      <c r="B74" s="16"/>
    </row>
    <row r="75">
      <c r="B75" s="16"/>
    </row>
    <row r="76">
      <c r="B76" s="16"/>
    </row>
    <row r="77">
      <c r="B77" s="16"/>
    </row>
    <row r="78">
      <c r="B78" s="16"/>
    </row>
    <row r="79">
      <c r="B79" s="16"/>
    </row>
    <row r="80">
      <c r="B80" s="16"/>
    </row>
    <row r="81">
      <c r="B81" s="16"/>
    </row>
    <row r="82">
      <c r="B82" s="16"/>
    </row>
    <row r="83">
      <c r="B83" s="16"/>
    </row>
    <row r="84">
      <c r="B84" s="16"/>
    </row>
    <row r="85">
      <c r="B85" s="16"/>
    </row>
    <row r="86">
      <c r="B86" s="16"/>
    </row>
    <row r="87">
      <c r="B87" s="16"/>
    </row>
    <row r="88">
      <c r="B88" s="16"/>
    </row>
    <row r="89">
      <c r="B89" s="16"/>
    </row>
    <row r="90">
      <c r="B90" s="16"/>
    </row>
    <row r="91">
      <c r="B91" s="16"/>
    </row>
    <row r="92">
      <c r="B92" s="16"/>
    </row>
    <row r="93">
      <c r="B93" s="16"/>
    </row>
    <row r="94">
      <c r="B94" s="16"/>
    </row>
    <row r="95">
      <c r="B95" s="16"/>
    </row>
    <row r="96">
      <c r="B96" s="16"/>
    </row>
    <row r="97">
      <c r="B97" s="16"/>
    </row>
    <row r="98">
      <c r="B98" s="16"/>
    </row>
    <row r="99">
      <c r="B99" s="16"/>
    </row>
    <row r="100">
      <c r="B100" s="16"/>
    </row>
    <row r="101">
      <c r="B101" s="16"/>
    </row>
    <row r="102">
      <c r="B102" s="16"/>
    </row>
    <row r="103">
      <c r="B103" s="16"/>
    </row>
    <row r="104">
      <c r="B104" s="16"/>
    </row>
    <row r="105">
      <c r="B105" s="16"/>
    </row>
    <row r="106">
      <c r="B106" s="16"/>
    </row>
    <row r="107">
      <c r="B107" s="16"/>
    </row>
    <row r="108">
      <c r="B108" s="16"/>
    </row>
    <row r="109">
      <c r="B109" s="16"/>
    </row>
    <row r="110">
      <c r="B110" s="16"/>
    </row>
    <row r="111">
      <c r="B111" s="16"/>
    </row>
    <row r="112">
      <c r="B112" s="16"/>
    </row>
    <row r="113">
      <c r="B113" s="16"/>
    </row>
    <row r="114">
      <c r="B114" s="16"/>
    </row>
    <row r="115">
      <c r="B115" s="16"/>
    </row>
    <row r="116">
      <c r="B116" s="16"/>
    </row>
    <row r="117">
      <c r="B117" s="16"/>
    </row>
    <row r="118">
      <c r="B118" s="16"/>
    </row>
    <row r="119">
      <c r="B119" s="16"/>
    </row>
    <row r="120">
      <c r="B120" s="16"/>
    </row>
    <row r="121">
      <c r="B121" s="16"/>
    </row>
    <row r="122">
      <c r="B122" s="16"/>
    </row>
    <row r="123">
      <c r="B123" s="16"/>
    </row>
    <row r="124">
      <c r="B124" s="16"/>
    </row>
    <row r="125">
      <c r="B125" s="16"/>
    </row>
    <row r="126">
      <c r="B126" s="16"/>
    </row>
    <row r="127">
      <c r="B127" s="16"/>
    </row>
    <row r="128">
      <c r="B128" s="16"/>
    </row>
    <row r="129">
      <c r="B129" s="16"/>
    </row>
    <row r="130">
      <c r="B130" s="16"/>
    </row>
    <row r="131">
      <c r="B131" s="16"/>
    </row>
    <row r="132">
      <c r="B132" s="16"/>
    </row>
    <row r="133">
      <c r="B133" s="16"/>
    </row>
    <row r="134">
      <c r="B134" s="16"/>
    </row>
    <row r="135">
      <c r="B135" s="16"/>
    </row>
    <row r="136">
      <c r="B136" s="16"/>
    </row>
    <row r="137">
      <c r="B137" s="16"/>
    </row>
    <row r="138">
      <c r="B138" s="16"/>
    </row>
    <row r="139">
      <c r="B139" s="16"/>
    </row>
    <row r="140">
      <c r="B140" s="16"/>
    </row>
    <row r="141">
      <c r="B141" s="16"/>
    </row>
    <row r="142">
      <c r="B142" s="16"/>
    </row>
    <row r="143">
      <c r="B143" s="16"/>
    </row>
    <row r="144">
      <c r="B144" s="16"/>
    </row>
    <row r="145">
      <c r="B145" s="16"/>
    </row>
    <row r="146">
      <c r="B146" s="16"/>
    </row>
    <row r="147">
      <c r="B147" s="16"/>
    </row>
    <row r="148">
      <c r="B148" s="16"/>
    </row>
    <row r="149">
      <c r="B149" s="16"/>
    </row>
    <row r="150">
      <c r="B150" s="16"/>
    </row>
    <row r="151">
      <c r="B151" s="16"/>
    </row>
    <row r="152">
      <c r="B152" s="16"/>
    </row>
    <row r="153">
      <c r="B153" s="16"/>
    </row>
    <row r="154">
      <c r="B154" s="16"/>
    </row>
    <row r="155">
      <c r="B155" s="16"/>
    </row>
    <row r="156">
      <c r="B156" s="16"/>
    </row>
    <row r="157">
      <c r="B157" s="16"/>
    </row>
    <row r="158">
      <c r="B158" s="16"/>
    </row>
    <row r="159">
      <c r="B159" s="16"/>
    </row>
    <row r="160">
      <c r="B160" s="16"/>
    </row>
    <row r="161">
      <c r="B161" s="16"/>
    </row>
    <row r="162">
      <c r="B162" s="16"/>
    </row>
    <row r="163">
      <c r="B163" s="16"/>
    </row>
    <row r="164">
      <c r="B164" s="16"/>
    </row>
    <row r="165">
      <c r="B165" s="16"/>
    </row>
    <row r="166">
      <c r="B166" s="16"/>
    </row>
    <row r="167">
      <c r="B167" s="16"/>
    </row>
    <row r="168">
      <c r="B168" s="16"/>
    </row>
    <row r="169">
      <c r="B169" s="16"/>
    </row>
    <row r="170">
      <c r="B170" s="16"/>
    </row>
    <row r="171">
      <c r="B171" s="16"/>
    </row>
    <row r="172">
      <c r="B172" s="16"/>
    </row>
    <row r="173">
      <c r="B173" s="16"/>
    </row>
    <row r="174">
      <c r="B174" s="16"/>
    </row>
    <row r="175">
      <c r="B175" s="16"/>
    </row>
    <row r="176">
      <c r="B176" s="16"/>
    </row>
    <row r="177">
      <c r="B177" s="16"/>
    </row>
    <row r="178">
      <c r="B178" s="16"/>
    </row>
    <row r="179">
      <c r="B179" s="16"/>
    </row>
    <row r="180">
      <c r="B180" s="16"/>
    </row>
    <row r="181">
      <c r="B181" s="16"/>
    </row>
    <row r="182">
      <c r="B182" s="16"/>
    </row>
    <row r="183">
      <c r="B183" s="16"/>
    </row>
    <row r="184">
      <c r="B184" s="16"/>
    </row>
    <row r="185">
      <c r="B185" s="16"/>
    </row>
    <row r="186">
      <c r="B186" s="16"/>
    </row>
    <row r="187">
      <c r="B187" s="16"/>
    </row>
    <row r="188">
      <c r="B188" s="16"/>
    </row>
    <row r="189">
      <c r="B189" s="16"/>
    </row>
    <row r="190">
      <c r="B190" s="16"/>
    </row>
    <row r="191">
      <c r="B191" s="16"/>
    </row>
    <row r="192">
      <c r="B192" s="16"/>
    </row>
    <row r="193">
      <c r="B193" s="16"/>
    </row>
    <row r="194">
      <c r="B194" s="16"/>
    </row>
    <row r="195">
      <c r="B195" s="16"/>
    </row>
    <row r="196">
      <c r="B196" s="16"/>
    </row>
    <row r="197">
      <c r="B197" s="16"/>
    </row>
    <row r="198">
      <c r="B198" s="16"/>
    </row>
    <row r="199">
      <c r="B199" s="16"/>
    </row>
    <row r="200">
      <c r="B200" s="16"/>
    </row>
    <row r="201">
      <c r="B201" s="16"/>
    </row>
    <row r="202">
      <c r="B202" s="16"/>
    </row>
    <row r="203">
      <c r="B203" s="16"/>
    </row>
    <row r="204">
      <c r="B204" s="16"/>
    </row>
    <row r="205">
      <c r="B205" s="16"/>
    </row>
    <row r="206">
      <c r="B206" s="16"/>
    </row>
    <row r="207">
      <c r="B207" s="16"/>
    </row>
    <row r="208">
      <c r="B208" s="16"/>
    </row>
    <row r="209">
      <c r="B209" s="16"/>
    </row>
    <row r="210">
      <c r="B210" s="16"/>
    </row>
    <row r="211">
      <c r="B211" s="16"/>
    </row>
    <row r="212">
      <c r="B212" s="16"/>
    </row>
    <row r="213">
      <c r="B213" s="16"/>
    </row>
    <row r="214">
      <c r="B214" s="16"/>
    </row>
    <row r="215">
      <c r="B215" s="16"/>
    </row>
    <row r="216">
      <c r="B216" s="16"/>
    </row>
    <row r="217">
      <c r="B217" s="16"/>
    </row>
    <row r="218">
      <c r="B218" s="16"/>
    </row>
    <row r="219">
      <c r="B219" s="16"/>
    </row>
    <row r="220">
      <c r="B220" s="16"/>
    </row>
    <row r="221">
      <c r="B221" s="16"/>
    </row>
    <row r="222">
      <c r="B222" s="16"/>
    </row>
    <row r="223">
      <c r="B223" s="16"/>
    </row>
    <row r="224">
      <c r="B224" s="16"/>
    </row>
    <row r="225">
      <c r="B225" s="16"/>
    </row>
    <row r="226">
      <c r="B226" s="16"/>
    </row>
    <row r="227">
      <c r="B227" s="16"/>
    </row>
    <row r="228">
      <c r="B228" s="16"/>
    </row>
    <row r="229">
      <c r="B229" s="16"/>
    </row>
    <row r="230">
      <c r="B230" s="16"/>
    </row>
    <row r="231">
      <c r="B231" s="16"/>
    </row>
    <row r="232">
      <c r="B232" s="16"/>
    </row>
    <row r="233">
      <c r="B233" s="16"/>
    </row>
    <row r="234">
      <c r="B234" s="16"/>
    </row>
    <row r="235">
      <c r="B235" s="16"/>
    </row>
    <row r="236">
      <c r="B236" s="16"/>
    </row>
    <row r="237">
      <c r="B237" s="16"/>
    </row>
    <row r="238">
      <c r="B238" s="16"/>
    </row>
    <row r="239">
      <c r="B239" s="16"/>
    </row>
    <row r="240">
      <c r="B240" s="16"/>
    </row>
    <row r="241">
      <c r="B241" s="16"/>
    </row>
    <row r="242">
      <c r="B242" s="16"/>
    </row>
    <row r="243">
      <c r="B243" s="16"/>
    </row>
    <row r="244">
      <c r="B244" s="16"/>
    </row>
    <row r="245">
      <c r="B245" s="16"/>
    </row>
    <row r="246">
      <c r="B246" s="16"/>
    </row>
    <row r="247">
      <c r="B247" s="16"/>
    </row>
    <row r="248">
      <c r="B248" s="16"/>
    </row>
    <row r="249">
      <c r="B249" s="16"/>
    </row>
    <row r="250">
      <c r="B250" s="16"/>
    </row>
    <row r="251">
      <c r="B251" s="16"/>
    </row>
    <row r="252">
      <c r="B252" s="16"/>
    </row>
    <row r="253">
      <c r="B253" s="16"/>
    </row>
    <row r="254">
      <c r="B254" s="16"/>
    </row>
    <row r="255">
      <c r="B255" s="16"/>
    </row>
    <row r="256">
      <c r="B256" s="16"/>
    </row>
    <row r="257">
      <c r="B257" s="16"/>
    </row>
    <row r="258">
      <c r="B258" s="16"/>
    </row>
    <row r="259">
      <c r="B259" s="16"/>
    </row>
    <row r="260">
      <c r="B260" s="16"/>
    </row>
    <row r="261">
      <c r="B261" s="16"/>
    </row>
    <row r="262">
      <c r="B262" s="16"/>
    </row>
    <row r="263">
      <c r="B263" s="16"/>
    </row>
    <row r="264">
      <c r="B264" s="16"/>
    </row>
    <row r="265">
      <c r="B265" s="16"/>
    </row>
    <row r="266">
      <c r="B266" s="16"/>
    </row>
    <row r="267">
      <c r="B267" s="16"/>
    </row>
    <row r="268">
      <c r="B268" s="16"/>
    </row>
    <row r="269">
      <c r="B269" s="16"/>
    </row>
    <row r="270">
      <c r="B270" s="16"/>
    </row>
    <row r="271">
      <c r="B271" s="16"/>
    </row>
    <row r="272">
      <c r="B272" s="16"/>
    </row>
    <row r="273">
      <c r="B273" s="16"/>
    </row>
    <row r="274">
      <c r="B274" s="16"/>
    </row>
    <row r="275">
      <c r="B275" s="16"/>
    </row>
    <row r="276">
      <c r="B276" s="16"/>
    </row>
    <row r="277">
      <c r="B277" s="16"/>
    </row>
    <row r="278">
      <c r="B278" s="16"/>
    </row>
    <row r="279">
      <c r="B279" s="16"/>
    </row>
    <row r="280">
      <c r="B280" s="16"/>
    </row>
    <row r="281">
      <c r="B281" s="16"/>
    </row>
    <row r="282">
      <c r="B282" s="16"/>
    </row>
    <row r="283">
      <c r="B283" s="16"/>
    </row>
    <row r="284">
      <c r="B284" s="16"/>
    </row>
    <row r="285">
      <c r="B285" s="16"/>
    </row>
    <row r="286">
      <c r="B286" s="16"/>
    </row>
    <row r="287">
      <c r="B287" s="16"/>
    </row>
    <row r="288">
      <c r="B288" s="16"/>
    </row>
    <row r="289">
      <c r="B289" s="16"/>
    </row>
    <row r="290">
      <c r="B290" s="16"/>
    </row>
    <row r="291">
      <c r="B291" s="16"/>
    </row>
    <row r="292">
      <c r="B292" s="16"/>
    </row>
    <row r="293">
      <c r="B293" s="16"/>
    </row>
    <row r="294">
      <c r="B294" s="16"/>
    </row>
    <row r="295">
      <c r="B295" s="16"/>
    </row>
    <row r="296">
      <c r="B296" s="16"/>
    </row>
    <row r="297">
      <c r="B297" s="16"/>
    </row>
    <row r="298">
      <c r="B298" s="16"/>
    </row>
    <row r="299">
      <c r="B299" s="16"/>
    </row>
    <row r="300">
      <c r="B300" s="16"/>
    </row>
    <row r="301">
      <c r="B301" s="16"/>
    </row>
    <row r="302">
      <c r="B302" s="16"/>
    </row>
    <row r="303">
      <c r="B303" s="16"/>
    </row>
    <row r="304">
      <c r="B304" s="16"/>
    </row>
    <row r="305">
      <c r="B305" s="16"/>
    </row>
    <row r="306">
      <c r="B306" s="16"/>
    </row>
    <row r="307">
      <c r="B307" s="16"/>
    </row>
    <row r="308">
      <c r="B308" s="16"/>
    </row>
    <row r="309">
      <c r="B309" s="16"/>
    </row>
    <row r="310">
      <c r="B310" s="16"/>
    </row>
    <row r="311">
      <c r="B311" s="16"/>
    </row>
    <row r="312">
      <c r="B312" s="16"/>
    </row>
    <row r="313">
      <c r="B313" s="16"/>
    </row>
    <row r="314">
      <c r="B314" s="16"/>
    </row>
    <row r="315">
      <c r="B315" s="16"/>
    </row>
    <row r="316">
      <c r="B316" s="16"/>
    </row>
    <row r="317">
      <c r="B317" s="16"/>
    </row>
    <row r="318">
      <c r="B318" s="16"/>
    </row>
    <row r="319">
      <c r="B319" s="16"/>
    </row>
    <row r="320">
      <c r="B320" s="16"/>
    </row>
    <row r="321">
      <c r="B321" s="16"/>
    </row>
    <row r="322">
      <c r="B322" s="16"/>
    </row>
    <row r="323">
      <c r="B323" s="16"/>
    </row>
    <row r="324">
      <c r="B324" s="16"/>
    </row>
    <row r="325">
      <c r="B325" s="16"/>
    </row>
    <row r="326">
      <c r="B326" s="16"/>
    </row>
    <row r="327">
      <c r="B327" s="16"/>
    </row>
    <row r="328">
      <c r="B328" s="16"/>
    </row>
    <row r="329">
      <c r="B329" s="16"/>
    </row>
    <row r="330">
      <c r="B330" s="16"/>
    </row>
    <row r="331">
      <c r="B331" s="16"/>
    </row>
    <row r="332">
      <c r="B332" s="16"/>
    </row>
    <row r="333">
      <c r="B333" s="16"/>
    </row>
    <row r="334">
      <c r="B334" s="16"/>
    </row>
    <row r="335">
      <c r="B335" s="16"/>
    </row>
    <row r="336">
      <c r="B336" s="16"/>
    </row>
    <row r="337">
      <c r="B337" s="16"/>
    </row>
    <row r="338">
      <c r="B338" s="16"/>
    </row>
    <row r="339">
      <c r="B339" s="16"/>
    </row>
    <row r="340">
      <c r="B340" s="16"/>
    </row>
    <row r="341">
      <c r="B341" s="16"/>
    </row>
    <row r="342">
      <c r="B342" s="16"/>
    </row>
    <row r="343">
      <c r="B343" s="16"/>
    </row>
    <row r="344">
      <c r="B344" s="16"/>
    </row>
    <row r="345">
      <c r="B345" s="16"/>
    </row>
    <row r="346">
      <c r="B346" s="16"/>
    </row>
    <row r="347">
      <c r="B347" s="16"/>
    </row>
    <row r="348">
      <c r="B348" s="16"/>
    </row>
    <row r="349">
      <c r="B349" s="16"/>
    </row>
    <row r="350">
      <c r="B350" s="16"/>
    </row>
    <row r="351">
      <c r="B351" s="16"/>
    </row>
    <row r="352">
      <c r="B352" s="16"/>
    </row>
    <row r="353">
      <c r="B353" s="16"/>
    </row>
    <row r="354">
      <c r="B354" s="16"/>
    </row>
    <row r="355">
      <c r="B355" s="16"/>
    </row>
    <row r="356">
      <c r="B356" s="16"/>
    </row>
    <row r="357">
      <c r="B357" s="16"/>
    </row>
    <row r="358">
      <c r="B358" s="16"/>
    </row>
    <row r="359">
      <c r="B359" s="16"/>
    </row>
    <row r="360">
      <c r="B360" s="16"/>
    </row>
    <row r="361">
      <c r="B361" s="16"/>
    </row>
    <row r="362">
      <c r="B362" s="16"/>
    </row>
    <row r="363">
      <c r="B363" s="16"/>
    </row>
    <row r="364">
      <c r="B364" s="16"/>
    </row>
    <row r="365">
      <c r="B365" s="16"/>
    </row>
    <row r="366">
      <c r="B366" s="16"/>
    </row>
    <row r="367">
      <c r="B367" s="16"/>
    </row>
    <row r="368">
      <c r="B368" s="16"/>
    </row>
    <row r="369">
      <c r="B369" s="16"/>
    </row>
    <row r="370">
      <c r="B370" s="16"/>
    </row>
    <row r="371">
      <c r="B371" s="16"/>
    </row>
    <row r="372">
      <c r="B372" s="16"/>
    </row>
    <row r="373">
      <c r="B373" s="16"/>
    </row>
    <row r="374">
      <c r="B374" s="16"/>
    </row>
    <row r="375">
      <c r="B375" s="16"/>
    </row>
    <row r="376">
      <c r="B376" s="16"/>
    </row>
    <row r="377">
      <c r="B377" s="16"/>
    </row>
    <row r="378">
      <c r="B378" s="16"/>
    </row>
    <row r="379">
      <c r="B379" s="16"/>
    </row>
    <row r="380">
      <c r="B380" s="16"/>
    </row>
    <row r="381">
      <c r="B381" s="16"/>
    </row>
    <row r="382">
      <c r="B382" s="16"/>
    </row>
    <row r="383">
      <c r="B383" s="16"/>
    </row>
    <row r="384">
      <c r="B384" s="16"/>
    </row>
    <row r="385">
      <c r="B385" s="16"/>
    </row>
    <row r="386">
      <c r="B386" s="16"/>
    </row>
    <row r="387">
      <c r="B387" s="16"/>
    </row>
    <row r="388">
      <c r="B388" s="16"/>
    </row>
    <row r="389">
      <c r="B389" s="16"/>
    </row>
    <row r="390">
      <c r="B390" s="16"/>
    </row>
    <row r="391">
      <c r="B391" s="16"/>
    </row>
    <row r="392">
      <c r="B392" s="16"/>
    </row>
    <row r="393">
      <c r="B393" s="16"/>
    </row>
    <row r="394">
      <c r="B394" s="16"/>
    </row>
    <row r="395">
      <c r="B395" s="16"/>
    </row>
    <row r="396">
      <c r="B396" s="16"/>
    </row>
    <row r="397">
      <c r="B397" s="16"/>
    </row>
    <row r="398">
      <c r="B398" s="16"/>
    </row>
    <row r="399">
      <c r="B399" s="16"/>
    </row>
    <row r="400">
      <c r="B400" s="16"/>
    </row>
    <row r="401">
      <c r="B401" s="16"/>
    </row>
    <row r="402">
      <c r="B402" s="16"/>
    </row>
    <row r="403">
      <c r="B403" s="16"/>
    </row>
    <row r="404">
      <c r="B404" s="16"/>
    </row>
    <row r="405">
      <c r="B405" s="16"/>
    </row>
    <row r="406">
      <c r="B406" s="16"/>
    </row>
    <row r="407">
      <c r="B407" s="16"/>
    </row>
    <row r="408">
      <c r="B408" s="16"/>
    </row>
    <row r="409">
      <c r="B409" s="16"/>
    </row>
    <row r="410">
      <c r="B410" s="16"/>
    </row>
    <row r="411">
      <c r="B411" s="16"/>
    </row>
    <row r="412">
      <c r="B412" s="16"/>
    </row>
    <row r="413">
      <c r="B413" s="16"/>
    </row>
    <row r="414">
      <c r="B414" s="16"/>
    </row>
    <row r="415">
      <c r="B415" s="16"/>
    </row>
    <row r="416">
      <c r="B416" s="16"/>
    </row>
    <row r="417">
      <c r="B417" s="16"/>
    </row>
    <row r="418">
      <c r="B418" s="16"/>
    </row>
    <row r="419">
      <c r="B419" s="16"/>
    </row>
    <row r="420">
      <c r="B420" s="16"/>
    </row>
    <row r="421">
      <c r="B421" s="16"/>
    </row>
    <row r="422">
      <c r="B422" s="16"/>
    </row>
    <row r="423">
      <c r="B423" s="16"/>
    </row>
    <row r="424">
      <c r="B424" s="16"/>
    </row>
    <row r="425">
      <c r="B425" s="16"/>
    </row>
    <row r="426">
      <c r="B426" s="16"/>
    </row>
    <row r="427">
      <c r="B427" s="16"/>
    </row>
    <row r="428">
      <c r="B428" s="16"/>
    </row>
    <row r="429">
      <c r="B429" s="16"/>
    </row>
    <row r="430">
      <c r="B430" s="16"/>
    </row>
    <row r="431">
      <c r="B431" s="16"/>
    </row>
    <row r="432">
      <c r="B432" s="16"/>
    </row>
    <row r="433">
      <c r="B433" s="16"/>
    </row>
    <row r="434">
      <c r="B434" s="16"/>
    </row>
    <row r="435">
      <c r="B435" s="16"/>
    </row>
    <row r="436">
      <c r="B436" s="16"/>
    </row>
    <row r="437">
      <c r="B437" s="16"/>
    </row>
    <row r="438">
      <c r="B438" s="16"/>
    </row>
    <row r="439">
      <c r="B439" s="16"/>
    </row>
    <row r="440">
      <c r="B440" s="16"/>
    </row>
    <row r="441">
      <c r="B441" s="16"/>
    </row>
    <row r="442">
      <c r="B442" s="16"/>
    </row>
    <row r="443">
      <c r="B443" s="16"/>
    </row>
    <row r="444">
      <c r="B444" s="16"/>
    </row>
    <row r="445">
      <c r="B445" s="16"/>
    </row>
    <row r="446">
      <c r="B446" s="16"/>
    </row>
    <row r="447">
      <c r="B447" s="16"/>
    </row>
    <row r="448">
      <c r="B448" s="16"/>
    </row>
    <row r="449">
      <c r="B449" s="16"/>
    </row>
    <row r="450">
      <c r="B450" s="16"/>
    </row>
    <row r="451">
      <c r="B451" s="16"/>
    </row>
    <row r="452">
      <c r="B452" s="16"/>
    </row>
    <row r="453">
      <c r="B453" s="16"/>
    </row>
    <row r="454">
      <c r="B454" s="16"/>
    </row>
    <row r="455">
      <c r="B455" s="16"/>
    </row>
    <row r="456">
      <c r="B456" s="16"/>
    </row>
    <row r="457">
      <c r="B457" s="16"/>
    </row>
    <row r="458">
      <c r="B458" s="16"/>
    </row>
    <row r="459">
      <c r="B459" s="16"/>
    </row>
    <row r="460">
      <c r="B460" s="16"/>
    </row>
    <row r="461">
      <c r="B461" s="16"/>
    </row>
    <row r="462">
      <c r="B462" s="16"/>
    </row>
    <row r="463">
      <c r="B463" s="16"/>
    </row>
    <row r="464">
      <c r="B464" s="16"/>
    </row>
    <row r="465">
      <c r="B465" s="16"/>
    </row>
    <row r="466">
      <c r="B466" s="16"/>
    </row>
    <row r="467">
      <c r="B467" s="16"/>
    </row>
    <row r="468">
      <c r="B468" s="16"/>
    </row>
    <row r="469">
      <c r="B469" s="16"/>
    </row>
    <row r="470">
      <c r="B470" s="16"/>
    </row>
    <row r="471">
      <c r="B471" s="16"/>
    </row>
    <row r="472">
      <c r="B472" s="16"/>
    </row>
    <row r="473">
      <c r="B473" s="16"/>
    </row>
    <row r="474">
      <c r="B474" s="16"/>
    </row>
    <row r="475">
      <c r="B475" s="16"/>
    </row>
    <row r="476">
      <c r="B476" s="16"/>
    </row>
    <row r="477">
      <c r="B477" s="16"/>
    </row>
    <row r="478">
      <c r="B478" s="16"/>
    </row>
    <row r="479">
      <c r="B479" s="16"/>
    </row>
    <row r="480">
      <c r="B480" s="16"/>
    </row>
    <row r="481">
      <c r="B481" s="16"/>
    </row>
    <row r="482">
      <c r="B482" s="16"/>
    </row>
    <row r="483">
      <c r="B483" s="16"/>
    </row>
    <row r="484">
      <c r="B484" s="16"/>
    </row>
    <row r="485">
      <c r="B485" s="16"/>
    </row>
    <row r="486">
      <c r="B486" s="16"/>
    </row>
    <row r="487">
      <c r="B487" s="16"/>
    </row>
    <row r="488">
      <c r="B488" s="16"/>
    </row>
    <row r="489">
      <c r="B489" s="16"/>
    </row>
    <row r="490">
      <c r="B490" s="16"/>
    </row>
    <row r="491">
      <c r="B491" s="16"/>
    </row>
    <row r="492">
      <c r="B492" s="16"/>
    </row>
    <row r="493">
      <c r="B493" s="16"/>
    </row>
    <row r="494">
      <c r="B494" s="16"/>
    </row>
    <row r="495">
      <c r="B495" s="16"/>
    </row>
    <row r="496">
      <c r="B496" s="16"/>
    </row>
    <row r="497">
      <c r="B497" s="16"/>
    </row>
    <row r="498">
      <c r="B498" s="16"/>
    </row>
    <row r="499">
      <c r="B499" s="16"/>
    </row>
    <row r="500">
      <c r="B500" s="16"/>
    </row>
    <row r="501">
      <c r="B501" s="16"/>
    </row>
    <row r="502">
      <c r="B502" s="16"/>
    </row>
    <row r="503">
      <c r="B503" s="16"/>
    </row>
    <row r="504">
      <c r="B504" s="16"/>
    </row>
    <row r="505">
      <c r="B505" s="16"/>
    </row>
    <row r="506">
      <c r="B506" s="16"/>
    </row>
    <row r="507">
      <c r="B507" s="16"/>
    </row>
    <row r="508">
      <c r="B508" s="16"/>
    </row>
    <row r="509">
      <c r="B509" s="16"/>
    </row>
    <row r="510">
      <c r="B510" s="16"/>
    </row>
    <row r="511">
      <c r="B511" s="16"/>
    </row>
    <row r="512">
      <c r="B512" s="16"/>
    </row>
    <row r="513">
      <c r="B513" s="16"/>
    </row>
    <row r="514">
      <c r="B514" s="16"/>
    </row>
    <row r="515">
      <c r="B515" s="16"/>
    </row>
    <row r="516">
      <c r="B516" s="16"/>
    </row>
    <row r="517">
      <c r="B517" s="16"/>
    </row>
    <row r="518">
      <c r="B518" s="16"/>
    </row>
    <row r="519">
      <c r="B519" s="16"/>
    </row>
    <row r="520">
      <c r="B520" s="16"/>
    </row>
    <row r="521">
      <c r="B521" s="16"/>
    </row>
    <row r="522">
      <c r="B522" s="16"/>
    </row>
    <row r="523">
      <c r="B523" s="16"/>
    </row>
    <row r="524">
      <c r="B524" s="16"/>
    </row>
    <row r="525">
      <c r="B525" s="16"/>
    </row>
    <row r="526">
      <c r="B526" s="16"/>
    </row>
    <row r="527">
      <c r="B527" s="16"/>
    </row>
    <row r="528">
      <c r="B528" s="16"/>
    </row>
    <row r="529">
      <c r="B529" s="16"/>
    </row>
    <row r="530">
      <c r="B530" s="16"/>
    </row>
    <row r="531">
      <c r="B531" s="16"/>
    </row>
    <row r="532">
      <c r="B532" s="16"/>
    </row>
    <row r="533">
      <c r="B533" s="16"/>
    </row>
    <row r="534">
      <c r="B534" s="16"/>
    </row>
    <row r="535">
      <c r="B535" s="16"/>
    </row>
    <row r="536">
      <c r="B536" s="16"/>
    </row>
    <row r="537">
      <c r="B537" s="16"/>
    </row>
    <row r="538">
      <c r="B538" s="16"/>
    </row>
    <row r="539">
      <c r="B539" s="16"/>
    </row>
    <row r="540">
      <c r="B540" s="16"/>
    </row>
    <row r="541">
      <c r="B541" s="16"/>
    </row>
    <row r="542">
      <c r="B542" s="16"/>
    </row>
    <row r="543">
      <c r="B543" s="16"/>
    </row>
    <row r="544">
      <c r="B544" s="16"/>
    </row>
    <row r="545">
      <c r="B545" s="16"/>
    </row>
    <row r="546">
      <c r="B546" s="16"/>
    </row>
    <row r="547">
      <c r="B547" s="16"/>
    </row>
    <row r="548">
      <c r="B548" s="16"/>
    </row>
    <row r="549">
      <c r="B549" s="16"/>
    </row>
    <row r="550">
      <c r="B550" s="16"/>
    </row>
    <row r="551">
      <c r="B551" s="16"/>
    </row>
    <row r="552">
      <c r="B552" s="16"/>
    </row>
    <row r="553">
      <c r="B553" s="16"/>
    </row>
    <row r="554">
      <c r="B554" s="16"/>
    </row>
    <row r="555">
      <c r="B555" s="16"/>
    </row>
    <row r="556">
      <c r="B556" s="16"/>
    </row>
    <row r="557">
      <c r="B557" s="16"/>
    </row>
    <row r="558">
      <c r="B558" s="16"/>
    </row>
    <row r="559">
      <c r="B559" s="16"/>
    </row>
    <row r="560">
      <c r="B560" s="16"/>
    </row>
    <row r="561">
      <c r="B561" s="16"/>
    </row>
    <row r="562">
      <c r="B562" s="16"/>
    </row>
    <row r="563">
      <c r="B563" s="16"/>
    </row>
    <row r="564">
      <c r="B564" s="16"/>
    </row>
    <row r="565">
      <c r="B565" s="16"/>
    </row>
    <row r="566">
      <c r="B566" s="16"/>
    </row>
    <row r="567">
      <c r="B567" s="16"/>
    </row>
    <row r="568">
      <c r="B568" s="16"/>
    </row>
    <row r="569">
      <c r="B569" s="16"/>
    </row>
    <row r="570">
      <c r="B570" s="16"/>
    </row>
    <row r="571">
      <c r="B571" s="16"/>
    </row>
    <row r="572">
      <c r="B572" s="16"/>
    </row>
    <row r="573">
      <c r="B573" s="16"/>
    </row>
    <row r="574">
      <c r="B574" s="16"/>
    </row>
    <row r="575">
      <c r="B575" s="16"/>
    </row>
    <row r="576">
      <c r="B576" s="16"/>
    </row>
    <row r="577">
      <c r="B577" s="16"/>
    </row>
    <row r="578">
      <c r="B578" s="16"/>
    </row>
    <row r="579">
      <c r="B579" s="16"/>
    </row>
    <row r="580">
      <c r="B580" s="16"/>
    </row>
    <row r="581">
      <c r="B581" s="16"/>
    </row>
    <row r="582">
      <c r="B582" s="16"/>
    </row>
    <row r="583">
      <c r="B583" s="16"/>
    </row>
    <row r="584">
      <c r="B584" s="16"/>
    </row>
    <row r="585">
      <c r="B585" s="16"/>
    </row>
    <row r="586">
      <c r="B586" s="16"/>
    </row>
    <row r="587">
      <c r="B587" s="16"/>
    </row>
    <row r="588">
      <c r="B588" s="16"/>
    </row>
    <row r="589">
      <c r="B589" s="16"/>
    </row>
    <row r="590">
      <c r="B590" s="16"/>
    </row>
    <row r="591">
      <c r="B591" s="16"/>
    </row>
    <row r="592">
      <c r="B592" s="16"/>
    </row>
    <row r="593">
      <c r="B593" s="16"/>
    </row>
    <row r="594">
      <c r="B594" s="16"/>
    </row>
    <row r="595">
      <c r="B595" s="16"/>
    </row>
    <row r="596">
      <c r="B596" s="16"/>
    </row>
    <row r="597">
      <c r="B597" s="16"/>
    </row>
    <row r="598">
      <c r="B598" s="16"/>
    </row>
    <row r="599">
      <c r="B599" s="16"/>
    </row>
    <row r="600">
      <c r="B600" s="16"/>
    </row>
    <row r="601">
      <c r="B601" s="16"/>
    </row>
    <row r="602">
      <c r="B602" s="16"/>
    </row>
    <row r="603">
      <c r="B603" s="16"/>
    </row>
    <row r="604">
      <c r="B604" s="16"/>
    </row>
    <row r="605">
      <c r="B605" s="16"/>
    </row>
    <row r="606">
      <c r="B606" s="16"/>
    </row>
    <row r="607">
      <c r="B607" s="16"/>
    </row>
    <row r="608">
      <c r="B608" s="16"/>
    </row>
    <row r="609">
      <c r="B609" s="16"/>
    </row>
    <row r="610">
      <c r="B610" s="16"/>
    </row>
    <row r="611">
      <c r="B611" s="16"/>
    </row>
    <row r="612">
      <c r="B612" s="16"/>
    </row>
    <row r="613">
      <c r="B613" s="16"/>
    </row>
    <row r="614">
      <c r="B614" s="16"/>
    </row>
    <row r="615">
      <c r="B615" s="16"/>
    </row>
    <row r="616">
      <c r="B616" s="16"/>
    </row>
    <row r="617">
      <c r="B617" s="16"/>
    </row>
    <row r="618">
      <c r="B618" s="16"/>
    </row>
    <row r="619">
      <c r="B619" s="16"/>
    </row>
    <row r="620">
      <c r="B620" s="16"/>
    </row>
    <row r="621">
      <c r="B621" s="16"/>
    </row>
    <row r="622">
      <c r="B622" s="16"/>
    </row>
    <row r="623">
      <c r="B623" s="16"/>
    </row>
    <row r="624">
      <c r="B624" s="16"/>
    </row>
    <row r="625">
      <c r="B625" s="16"/>
    </row>
    <row r="626">
      <c r="B626" s="16"/>
    </row>
    <row r="627">
      <c r="B627" s="16"/>
    </row>
    <row r="628">
      <c r="B628" s="16"/>
    </row>
    <row r="629">
      <c r="B629" s="16"/>
    </row>
    <row r="630">
      <c r="B630" s="16"/>
    </row>
    <row r="631">
      <c r="B631" s="16"/>
    </row>
    <row r="632">
      <c r="B632" s="16"/>
    </row>
    <row r="633">
      <c r="B633" s="16"/>
    </row>
    <row r="634">
      <c r="B634" s="16"/>
    </row>
    <row r="635">
      <c r="B635" s="16"/>
    </row>
    <row r="636">
      <c r="B636" s="16"/>
    </row>
    <row r="637">
      <c r="B637" s="16"/>
    </row>
    <row r="638">
      <c r="B638" s="16"/>
    </row>
    <row r="639">
      <c r="B639" s="16"/>
    </row>
    <row r="640">
      <c r="B640" s="16"/>
    </row>
    <row r="641">
      <c r="B641" s="16"/>
    </row>
    <row r="642">
      <c r="B642" s="16"/>
    </row>
    <row r="643">
      <c r="B643" s="16"/>
    </row>
    <row r="644">
      <c r="B644" s="16"/>
    </row>
    <row r="645">
      <c r="B645" s="16"/>
    </row>
    <row r="646">
      <c r="B646" s="16"/>
    </row>
    <row r="647">
      <c r="B647" s="16"/>
    </row>
    <row r="648">
      <c r="B648" s="16"/>
    </row>
    <row r="649">
      <c r="B649" s="16"/>
    </row>
    <row r="650">
      <c r="B650" s="16"/>
    </row>
    <row r="651">
      <c r="B651" s="16"/>
    </row>
    <row r="652">
      <c r="B652" s="16"/>
    </row>
    <row r="653">
      <c r="B653" s="16"/>
    </row>
    <row r="654">
      <c r="B654" s="16"/>
    </row>
    <row r="655">
      <c r="B655" s="16"/>
    </row>
    <row r="656">
      <c r="B656" s="16"/>
    </row>
    <row r="657">
      <c r="B657" s="16"/>
    </row>
    <row r="658">
      <c r="B658" s="16"/>
    </row>
    <row r="659">
      <c r="B659" s="16"/>
    </row>
    <row r="660">
      <c r="B660" s="16"/>
    </row>
    <row r="661">
      <c r="B661" s="16"/>
    </row>
    <row r="662">
      <c r="B662" s="16"/>
    </row>
    <row r="663">
      <c r="B663" s="16"/>
    </row>
    <row r="664">
      <c r="B664" s="16"/>
    </row>
    <row r="665">
      <c r="B665" s="16"/>
    </row>
    <row r="666">
      <c r="B666" s="16"/>
    </row>
    <row r="667">
      <c r="B667" s="16"/>
    </row>
    <row r="668">
      <c r="B668" s="16"/>
    </row>
    <row r="669">
      <c r="B669" s="16"/>
    </row>
    <row r="670">
      <c r="B670" s="16"/>
    </row>
    <row r="671">
      <c r="B671" s="16"/>
    </row>
    <row r="672">
      <c r="B672" s="16"/>
    </row>
    <row r="673">
      <c r="B673" s="16"/>
    </row>
    <row r="674">
      <c r="B674" s="16"/>
    </row>
    <row r="675">
      <c r="B675" s="16"/>
    </row>
    <row r="676">
      <c r="B676" s="16"/>
    </row>
    <row r="677">
      <c r="B677" s="16"/>
    </row>
    <row r="678">
      <c r="B678" s="16"/>
    </row>
    <row r="679">
      <c r="B679" s="16"/>
    </row>
    <row r="680">
      <c r="B680" s="16"/>
    </row>
    <row r="681">
      <c r="B681" s="16"/>
    </row>
    <row r="682">
      <c r="B682" s="16"/>
    </row>
    <row r="683">
      <c r="B683" s="16"/>
    </row>
    <row r="684">
      <c r="B684" s="16"/>
    </row>
    <row r="685">
      <c r="B685" s="16"/>
    </row>
    <row r="686">
      <c r="B686" s="16"/>
    </row>
    <row r="687">
      <c r="B687" s="16"/>
    </row>
    <row r="688">
      <c r="B688" s="16"/>
    </row>
    <row r="689">
      <c r="B689" s="16"/>
    </row>
    <row r="690">
      <c r="B690" s="16"/>
    </row>
    <row r="691">
      <c r="B691" s="16"/>
    </row>
    <row r="692">
      <c r="B692" s="16"/>
    </row>
    <row r="693">
      <c r="B693" s="16"/>
    </row>
    <row r="694">
      <c r="B694" s="16"/>
    </row>
    <row r="695">
      <c r="B695" s="16"/>
    </row>
    <row r="696">
      <c r="B696" s="16"/>
    </row>
    <row r="697">
      <c r="B697" s="16"/>
    </row>
    <row r="698">
      <c r="B698" s="16"/>
    </row>
    <row r="699">
      <c r="B699" s="16"/>
    </row>
    <row r="700">
      <c r="B700" s="16"/>
    </row>
    <row r="701">
      <c r="B701" s="16"/>
    </row>
    <row r="702">
      <c r="B702" s="16"/>
    </row>
    <row r="703">
      <c r="B703" s="16"/>
    </row>
    <row r="704">
      <c r="B704" s="16"/>
    </row>
    <row r="705">
      <c r="B705" s="16"/>
    </row>
    <row r="706">
      <c r="B706" s="16"/>
    </row>
    <row r="707">
      <c r="B707" s="16"/>
    </row>
    <row r="708">
      <c r="B708" s="16"/>
    </row>
    <row r="709">
      <c r="B709" s="16"/>
    </row>
    <row r="710">
      <c r="B710" s="16"/>
    </row>
    <row r="711">
      <c r="B711" s="16"/>
    </row>
    <row r="712">
      <c r="B712" s="16"/>
    </row>
    <row r="713">
      <c r="B713" s="16"/>
    </row>
    <row r="714">
      <c r="B714" s="16"/>
    </row>
    <row r="715">
      <c r="B715" s="16"/>
    </row>
    <row r="716">
      <c r="B716" s="16"/>
    </row>
    <row r="717">
      <c r="B717" s="16"/>
    </row>
    <row r="718">
      <c r="B718" s="16"/>
    </row>
    <row r="719">
      <c r="B719" s="16"/>
    </row>
    <row r="720">
      <c r="B720" s="16"/>
    </row>
    <row r="721">
      <c r="B721" s="16"/>
    </row>
    <row r="722">
      <c r="B722" s="16"/>
    </row>
    <row r="723">
      <c r="B723" s="16"/>
    </row>
    <row r="724">
      <c r="B724" s="16"/>
    </row>
    <row r="725">
      <c r="B725" s="16"/>
    </row>
    <row r="726">
      <c r="B726" s="16"/>
    </row>
    <row r="727">
      <c r="B727" s="16"/>
    </row>
    <row r="728">
      <c r="B728" s="16"/>
    </row>
    <row r="729">
      <c r="B729" s="16"/>
    </row>
    <row r="730">
      <c r="B730" s="16"/>
    </row>
    <row r="731">
      <c r="B731" s="16"/>
    </row>
    <row r="732">
      <c r="B732" s="16"/>
    </row>
    <row r="733">
      <c r="B733" s="16"/>
    </row>
    <row r="734">
      <c r="B734" s="16"/>
    </row>
    <row r="735">
      <c r="B735" s="16"/>
    </row>
    <row r="736">
      <c r="B736" s="16"/>
    </row>
    <row r="737">
      <c r="B737" s="16"/>
    </row>
    <row r="738">
      <c r="B738" s="16"/>
    </row>
    <row r="739">
      <c r="B739" s="16"/>
    </row>
    <row r="740">
      <c r="B740" s="16"/>
    </row>
    <row r="741">
      <c r="B741" s="16"/>
    </row>
    <row r="742">
      <c r="B742" s="16"/>
    </row>
    <row r="743">
      <c r="B743" s="16"/>
    </row>
    <row r="744">
      <c r="B744" s="16"/>
    </row>
    <row r="745">
      <c r="B745" s="16"/>
    </row>
    <row r="746">
      <c r="B746" s="16"/>
    </row>
    <row r="747">
      <c r="B747" s="16"/>
    </row>
    <row r="748">
      <c r="B748" s="16"/>
    </row>
    <row r="749">
      <c r="B749" s="16"/>
    </row>
    <row r="750">
      <c r="B750" s="16"/>
    </row>
    <row r="751">
      <c r="B751" s="16"/>
    </row>
    <row r="752">
      <c r="B752" s="16"/>
    </row>
    <row r="753">
      <c r="B753" s="16"/>
    </row>
    <row r="754">
      <c r="B754" s="16"/>
    </row>
    <row r="755">
      <c r="B755" s="16"/>
    </row>
    <row r="756">
      <c r="B756" s="16"/>
    </row>
    <row r="757">
      <c r="B757" s="16"/>
    </row>
    <row r="758">
      <c r="B758" s="16"/>
    </row>
    <row r="759">
      <c r="B759" s="16"/>
    </row>
    <row r="760">
      <c r="B760" s="16"/>
    </row>
    <row r="761">
      <c r="B761" s="16"/>
    </row>
    <row r="762">
      <c r="B762" s="16"/>
    </row>
    <row r="763">
      <c r="B763" s="16"/>
    </row>
    <row r="764">
      <c r="B764" s="16"/>
    </row>
    <row r="765">
      <c r="B765" s="16"/>
    </row>
    <row r="766">
      <c r="B766" s="16"/>
    </row>
    <row r="767">
      <c r="B767" s="16"/>
    </row>
    <row r="768">
      <c r="B768" s="16"/>
    </row>
    <row r="769">
      <c r="B769" s="16"/>
    </row>
    <row r="770">
      <c r="B770" s="16"/>
    </row>
    <row r="771">
      <c r="B771" s="16"/>
    </row>
    <row r="772">
      <c r="B772" s="16"/>
    </row>
    <row r="773">
      <c r="B773" s="16"/>
    </row>
    <row r="774">
      <c r="B774" s="16"/>
    </row>
    <row r="775">
      <c r="B775" s="16"/>
    </row>
    <row r="776">
      <c r="B776" s="16"/>
    </row>
    <row r="777">
      <c r="B777" s="16"/>
    </row>
    <row r="778">
      <c r="B778" s="16"/>
    </row>
    <row r="779">
      <c r="B779" s="16"/>
    </row>
    <row r="780">
      <c r="B780" s="16"/>
    </row>
    <row r="781">
      <c r="B781" s="16"/>
    </row>
    <row r="782">
      <c r="B782" s="16"/>
    </row>
    <row r="783">
      <c r="B783" s="16"/>
    </row>
    <row r="784">
      <c r="B784" s="16"/>
    </row>
    <row r="785">
      <c r="B785" s="16"/>
    </row>
    <row r="786">
      <c r="B786" s="16"/>
    </row>
    <row r="787">
      <c r="B787" s="16"/>
    </row>
    <row r="788">
      <c r="B788" s="16"/>
    </row>
    <row r="789">
      <c r="B789" s="16"/>
    </row>
    <row r="790">
      <c r="B790" s="16"/>
    </row>
    <row r="791">
      <c r="B791" s="16"/>
    </row>
    <row r="792">
      <c r="B792" s="16"/>
    </row>
    <row r="793">
      <c r="B793" s="16"/>
    </row>
    <row r="794">
      <c r="B794" s="16"/>
    </row>
    <row r="795">
      <c r="B795" s="16"/>
    </row>
    <row r="796">
      <c r="B796" s="16"/>
    </row>
    <row r="797">
      <c r="B797" s="16"/>
    </row>
    <row r="798">
      <c r="B798" s="16"/>
    </row>
    <row r="799">
      <c r="B799" s="16"/>
    </row>
    <row r="800">
      <c r="B800" s="16"/>
    </row>
    <row r="801">
      <c r="B801" s="16"/>
    </row>
    <row r="802">
      <c r="B802" s="16"/>
    </row>
    <row r="803">
      <c r="B803" s="16"/>
    </row>
    <row r="804">
      <c r="B804" s="16"/>
    </row>
    <row r="805">
      <c r="B805" s="16"/>
    </row>
    <row r="806">
      <c r="B806" s="16"/>
    </row>
    <row r="807">
      <c r="B807" s="16"/>
    </row>
    <row r="808">
      <c r="B808" s="16"/>
    </row>
    <row r="809">
      <c r="B809" s="16"/>
    </row>
    <row r="810">
      <c r="B810" s="16"/>
    </row>
    <row r="811">
      <c r="B811" s="16"/>
    </row>
    <row r="812">
      <c r="B812" s="16"/>
    </row>
    <row r="813">
      <c r="B813" s="16"/>
    </row>
    <row r="814">
      <c r="B814" s="16"/>
    </row>
    <row r="815">
      <c r="B815" s="16"/>
    </row>
    <row r="816">
      <c r="B816" s="16"/>
    </row>
    <row r="817">
      <c r="B817" s="16"/>
    </row>
    <row r="818">
      <c r="B818" s="16"/>
    </row>
    <row r="819">
      <c r="B819" s="16"/>
    </row>
    <row r="820">
      <c r="B820" s="16"/>
    </row>
    <row r="821">
      <c r="B821" s="16"/>
    </row>
    <row r="822">
      <c r="B822" s="16"/>
    </row>
    <row r="823">
      <c r="B823" s="16"/>
    </row>
    <row r="824">
      <c r="B824" s="16"/>
    </row>
    <row r="825">
      <c r="B825" s="16"/>
    </row>
    <row r="826">
      <c r="B826" s="16"/>
    </row>
    <row r="827">
      <c r="B827" s="16"/>
    </row>
    <row r="828">
      <c r="B828" s="16"/>
    </row>
    <row r="829">
      <c r="B829" s="16"/>
    </row>
    <row r="830">
      <c r="B830" s="16"/>
    </row>
    <row r="831">
      <c r="B831" s="16"/>
    </row>
    <row r="832">
      <c r="B832" s="16"/>
    </row>
    <row r="833">
      <c r="B833" s="16"/>
    </row>
    <row r="834">
      <c r="B834" s="16"/>
    </row>
    <row r="835">
      <c r="B835" s="16"/>
    </row>
    <row r="836">
      <c r="B836" s="16"/>
    </row>
    <row r="837">
      <c r="B837" s="16"/>
    </row>
    <row r="838">
      <c r="B838" s="16"/>
    </row>
    <row r="839">
      <c r="B839" s="16"/>
    </row>
    <row r="840">
      <c r="B840" s="16"/>
    </row>
    <row r="841">
      <c r="B841" s="16"/>
    </row>
    <row r="842">
      <c r="B842" s="16"/>
    </row>
    <row r="843">
      <c r="B843" s="16"/>
    </row>
    <row r="844">
      <c r="B844" s="16"/>
    </row>
    <row r="845">
      <c r="B845" s="16"/>
    </row>
    <row r="846">
      <c r="B846" s="16"/>
    </row>
    <row r="847">
      <c r="B847" s="16"/>
    </row>
    <row r="848">
      <c r="B848" s="16"/>
    </row>
    <row r="849">
      <c r="B849" s="16"/>
    </row>
    <row r="850">
      <c r="B850" s="16"/>
    </row>
    <row r="851">
      <c r="B851" s="16"/>
    </row>
    <row r="852">
      <c r="B852" s="16"/>
    </row>
    <row r="853">
      <c r="B853" s="16"/>
    </row>
    <row r="854">
      <c r="B854" s="16"/>
    </row>
    <row r="855">
      <c r="B855" s="16"/>
    </row>
    <row r="856">
      <c r="B856" s="16"/>
    </row>
    <row r="857">
      <c r="B857" s="16"/>
    </row>
    <row r="858">
      <c r="B858" s="16"/>
    </row>
    <row r="859">
      <c r="B859" s="16"/>
    </row>
    <row r="860">
      <c r="B860" s="16"/>
    </row>
    <row r="861">
      <c r="B861" s="16"/>
    </row>
    <row r="862">
      <c r="B862" s="16"/>
    </row>
    <row r="863">
      <c r="B863" s="16"/>
    </row>
    <row r="864">
      <c r="B864" s="16"/>
    </row>
    <row r="865">
      <c r="B865" s="16"/>
    </row>
    <row r="866">
      <c r="B866" s="16"/>
    </row>
    <row r="867">
      <c r="B867" s="16"/>
    </row>
    <row r="868">
      <c r="B868" s="16"/>
    </row>
    <row r="869">
      <c r="B869" s="16"/>
    </row>
    <row r="870">
      <c r="B870" s="16"/>
    </row>
    <row r="871">
      <c r="B871" s="16"/>
    </row>
    <row r="872">
      <c r="B872" s="16"/>
    </row>
    <row r="873">
      <c r="B873" s="16"/>
    </row>
    <row r="874">
      <c r="B874" s="16"/>
    </row>
    <row r="875">
      <c r="B875" s="16"/>
    </row>
    <row r="876">
      <c r="B876" s="16"/>
    </row>
    <row r="877">
      <c r="B877" s="16"/>
    </row>
    <row r="878">
      <c r="B878" s="16"/>
    </row>
    <row r="879">
      <c r="B879" s="16"/>
    </row>
    <row r="880">
      <c r="B880" s="16"/>
    </row>
    <row r="881">
      <c r="B881" s="16"/>
    </row>
    <row r="882">
      <c r="B882" s="16"/>
    </row>
    <row r="883">
      <c r="B883" s="16"/>
    </row>
    <row r="884">
      <c r="B884" s="16"/>
    </row>
    <row r="885">
      <c r="B885" s="16"/>
    </row>
    <row r="886">
      <c r="B886" s="16"/>
    </row>
    <row r="887">
      <c r="B887" s="16"/>
    </row>
    <row r="888">
      <c r="B888" s="16"/>
    </row>
    <row r="889">
      <c r="B889" s="16"/>
    </row>
    <row r="890">
      <c r="B890" s="16"/>
    </row>
    <row r="891">
      <c r="B891" s="16"/>
    </row>
    <row r="892">
      <c r="B892" s="16"/>
    </row>
    <row r="893">
      <c r="B893" s="16"/>
    </row>
    <row r="894">
      <c r="B894" s="16"/>
    </row>
    <row r="895">
      <c r="B895" s="16"/>
    </row>
    <row r="896">
      <c r="B896" s="16"/>
    </row>
    <row r="897">
      <c r="B897" s="16"/>
    </row>
    <row r="898">
      <c r="B898" s="16"/>
    </row>
    <row r="899">
      <c r="B899" s="16"/>
    </row>
    <row r="900">
      <c r="B900" s="16"/>
    </row>
    <row r="901">
      <c r="B901" s="16"/>
    </row>
    <row r="902">
      <c r="B902" s="16"/>
    </row>
    <row r="903">
      <c r="B903" s="16"/>
    </row>
    <row r="904">
      <c r="B904" s="16"/>
    </row>
    <row r="905">
      <c r="B905" s="16"/>
    </row>
    <row r="906">
      <c r="B906" s="16"/>
    </row>
    <row r="907">
      <c r="B907" s="16"/>
    </row>
    <row r="908">
      <c r="B908" s="16"/>
    </row>
    <row r="909">
      <c r="B909" s="16"/>
    </row>
    <row r="910">
      <c r="B910" s="16"/>
    </row>
    <row r="911">
      <c r="B911" s="16"/>
    </row>
    <row r="912">
      <c r="B912" s="16"/>
    </row>
    <row r="913">
      <c r="B913" s="16"/>
    </row>
    <row r="914">
      <c r="B914" s="16"/>
    </row>
    <row r="915">
      <c r="B915" s="16"/>
    </row>
    <row r="916">
      <c r="B916" s="16"/>
    </row>
    <row r="917">
      <c r="B917" s="16"/>
    </row>
    <row r="918">
      <c r="B918" s="16"/>
    </row>
    <row r="919">
      <c r="B919" s="16"/>
    </row>
    <row r="920">
      <c r="B920" s="16"/>
    </row>
    <row r="921">
      <c r="B921" s="16"/>
    </row>
    <row r="922">
      <c r="B922" s="16"/>
    </row>
    <row r="923">
      <c r="B923" s="16"/>
    </row>
    <row r="924">
      <c r="B924" s="16"/>
    </row>
    <row r="925">
      <c r="B925" s="16"/>
    </row>
    <row r="926">
      <c r="B926" s="16"/>
    </row>
    <row r="927">
      <c r="B927" s="16"/>
    </row>
    <row r="928">
      <c r="B928" s="16"/>
    </row>
    <row r="929">
      <c r="B929" s="16"/>
    </row>
    <row r="930">
      <c r="B930" s="16"/>
    </row>
    <row r="931">
      <c r="B931" s="16"/>
    </row>
    <row r="932">
      <c r="B932" s="16"/>
    </row>
    <row r="933">
      <c r="B933" s="16"/>
    </row>
    <row r="934">
      <c r="B934" s="16"/>
    </row>
    <row r="935">
      <c r="B935" s="16"/>
    </row>
    <row r="936">
      <c r="B936" s="16"/>
    </row>
    <row r="937">
      <c r="B937" s="16"/>
    </row>
    <row r="938">
      <c r="B938" s="16"/>
    </row>
    <row r="939">
      <c r="B939" s="16"/>
    </row>
    <row r="940">
      <c r="B940" s="16"/>
    </row>
    <row r="941">
      <c r="B941" s="16"/>
    </row>
    <row r="942">
      <c r="B942" s="16"/>
    </row>
    <row r="943">
      <c r="B943" s="16"/>
    </row>
    <row r="944">
      <c r="B944" s="16"/>
    </row>
    <row r="945">
      <c r="B945" s="16"/>
    </row>
    <row r="946">
      <c r="B946" s="16"/>
    </row>
    <row r="947">
      <c r="B947" s="16"/>
    </row>
    <row r="948">
      <c r="B948" s="16"/>
    </row>
    <row r="949">
      <c r="B949" s="16"/>
    </row>
    <row r="950">
      <c r="B950" s="16"/>
    </row>
    <row r="951">
      <c r="B951" s="16"/>
    </row>
    <row r="952">
      <c r="B952" s="16"/>
    </row>
    <row r="953">
      <c r="B953" s="16"/>
    </row>
    <row r="954">
      <c r="B954" s="16"/>
    </row>
    <row r="955">
      <c r="B955" s="16"/>
    </row>
    <row r="956">
      <c r="B956" s="16"/>
    </row>
    <row r="957">
      <c r="B957" s="16"/>
    </row>
    <row r="958">
      <c r="B958" s="16"/>
    </row>
    <row r="959">
      <c r="B959" s="16"/>
    </row>
    <row r="960">
      <c r="B960" s="16"/>
    </row>
    <row r="961">
      <c r="B961" s="16"/>
    </row>
    <row r="962">
      <c r="B962" s="16"/>
    </row>
    <row r="963">
      <c r="B963" s="16"/>
    </row>
    <row r="964">
      <c r="B964" s="16"/>
    </row>
    <row r="965">
      <c r="B965" s="16"/>
    </row>
    <row r="966">
      <c r="B966" s="16"/>
    </row>
    <row r="967">
      <c r="B967" s="16"/>
    </row>
    <row r="968">
      <c r="B968" s="16"/>
    </row>
    <row r="969">
      <c r="B969" s="16"/>
    </row>
    <row r="970">
      <c r="B970" s="16"/>
    </row>
    <row r="971">
      <c r="B971" s="16"/>
    </row>
    <row r="972">
      <c r="B972" s="16"/>
    </row>
    <row r="973">
      <c r="B973" s="16"/>
    </row>
    <row r="974">
      <c r="B974" s="16"/>
    </row>
    <row r="975">
      <c r="B975" s="16"/>
    </row>
    <row r="976">
      <c r="B976" s="16"/>
    </row>
    <row r="977">
      <c r="B977" s="16"/>
    </row>
    <row r="978">
      <c r="B978" s="16"/>
    </row>
    <row r="979">
      <c r="B979" s="16"/>
    </row>
    <row r="980">
      <c r="B980" s="16"/>
    </row>
    <row r="981">
      <c r="B981" s="16"/>
    </row>
    <row r="982">
      <c r="B982" s="16"/>
    </row>
    <row r="983">
      <c r="B983" s="16"/>
    </row>
    <row r="984">
      <c r="B984" s="16"/>
    </row>
    <row r="985">
      <c r="B985" s="16"/>
    </row>
    <row r="986">
      <c r="B986" s="16"/>
    </row>
    <row r="987">
      <c r="B987" s="16"/>
    </row>
    <row r="988">
      <c r="B988" s="16"/>
    </row>
    <row r="989">
      <c r="B989" s="16"/>
    </row>
    <row r="990">
      <c r="B990" s="16"/>
    </row>
    <row r="991">
      <c r="B991" s="16"/>
    </row>
    <row r="992">
      <c r="B992" s="16"/>
    </row>
    <row r="993">
      <c r="B993" s="16"/>
    </row>
    <row r="994">
      <c r="B994" s="16"/>
    </row>
    <row r="995">
      <c r="B995" s="16"/>
    </row>
    <row r="996">
      <c r="B996" s="16"/>
    </row>
    <row r="997">
      <c r="B997" s="16"/>
    </row>
    <row r="998">
      <c r="B998" s="16"/>
    </row>
    <row r="999">
      <c r="B999" s="16"/>
    </row>
    <row r="1000">
      <c r="B1000" s="16"/>
    </row>
    <row r="1001">
      <c r="B1001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  <c r="K1" s="17" t="s">
        <v>40</v>
      </c>
      <c r="M1" s="1" t="s">
        <v>0</v>
      </c>
      <c r="N1" s="22" t="s">
        <v>41</v>
      </c>
    </row>
    <row r="2">
      <c r="A2" s="17">
        <v>2014.0</v>
      </c>
      <c r="B2" s="17">
        <v>1.0</v>
      </c>
      <c r="C2" s="17">
        <v>1.0</v>
      </c>
      <c r="D2" s="17">
        <v>0.03</v>
      </c>
      <c r="E2" s="17">
        <v>-0.05</v>
      </c>
      <c r="F2" s="17">
        <v>0.36</v>
      </c>
      <c r="G2" s="17">
        <v>13.2</v>
      </c>
      <c r="H2" s="17">
        <v>54.8</v>
      </c>
      <c r="I2" s="17">
        <v>1009.8</v>
      </c>
      <c r="J2" s="17">
        <v>0.0</v>
      </c>
      <c r="K2" s="17">
        <v>0.0</v>
      </c>
      <c r="M2" s="2">
        <v>41640.0</v>
      </c>
      <c r="N2" s="5">
        <f>SUM(C2:C4)</f>
        <v>1</v>
      </c>
    </row>
    <row r="3">
      <c r="A3" s="17">
        <v>2014.0</v>
      </c>
      <c r="B3" s="17">
        <v>2.0</v>
      </c>
      <c r="C3" s="17">
        <v>0.0</v>
      </c>
      <c r="D3" s="17">
        <v>0.2</v>
      </c>
      <c r="E3" s="17">
        <v>0.18</v>
      </c>
      <c r="F3" s="17">
        <v>-0.43</v>
      </c>
      <c r="G3" s="17">
        <v>13.8</v>
      </c>
      <c r="H3" s="17">
        <v>59.5</v>
      </c>
      <c r="I3" s="17">
        <v>1009.5</v>
      </c>
      <c r="J3" s="17">
        <v>7.0</v>
      </c>
      <c r="K3" s="17">
        <v>1.0</v>
      </c>
      <c r="M3" s="2"/>
      <c r="N3" s="5"/>
    </row>
    <row r="4">
      <c r="A4" s="17">
        <v>2014.0</v>
      </c>
      <c r="B4" s="17">
        <v>3.0</v>
      </c>
      <c r="C4" s="17">
        <v>0.0</v>
      </c>
      <c r="D4" s="17">
        <v>0.02</v>
      </c>
      <c r="E4" s="17">
        <v>0.0</v>
      </c>
      <c r="F4" s="17">
        <v>0.01</v>
      </c>
      <c r="G4" s="17">
        <v>13.0</v>
      </c>
      <c r="H4" s="17">
        <v>49.3</v>
      </c>
      <c r="I4" s="17">
        <v>1009.4</v>
      </c>
      <c r="J4" s="17">
        <v>6.0</v>
      </c>
      <c r="K4" s="17">
        <v>0.0</v>
      </c>
      <c r="M4" s="2"/>
      <c r="N4" s="5"/>
    </row>
    <row r="5">
      <c r="A5" s="17">
        <v>2014.0</v>
      </c>
      <c r="B5" s="17">
        <v>4.0</v>
      </c>
      <c r="C5" s="17">
        <v>0.0</v>
      </c>
      <c r="D5" s="17">
        <v>0.13</v>
      </c>
      <c r="E5" s="17">
        <v>0.07</v>
      </c>
      <c r="F5" s="17">
        <v>-0.15</v>
      </c>
      <c r="G5" s="17">
        <v>10.7</v>
      </c>
      <c r="H5" s="17">
        <v>57.8</v>
      </c>
      <c r="I5" s="17">
        <v>1008.2</v>
      </c>
      <c r="J5" s="17">
        <v>0.0</v>
      </c>
      <c r="K5" s="17">
        <v>0.0</v>
      </c>
      <c r="M5" s="2">
        <v>41730.0</v>
      </c>
      <c r="N5" s="5">
        <f>SUM(C5:C7)</f>
        <v>3</v>
      </c>
    </row>
    <row r="6">
      <c r="A6" s="17">
        <v>2014.0</v>
      </c>
      <c r="B6" s="17">
        <v>5.0</v>
      </c>
      <c r="C6" s="17">
        <v>0.0</v>
      </c>
      <c r="D6" s="17">
        <v>-0.03</v>
      </c>
      <c r="E6" s="17">
        <v>-0.05</v>
      </c>
      <c r="F6" s="17">
        <v>-0.41</v>
      </c>
      <c r="G6" s="17">
        <v>11.1</v>
      </c>
      <c r="H6" s="17">
        <v>61.4</v>
      </c>
      <c r="I6" s="17">
        <v>1008.1</v>
      </c>
      <c r="J6" s="17">
        <v>3.0</v>
      </c>
      <c r="K6" s="17">
        <v>0.0</v>
      </c>
      <c r="M6" s="2"/>
      <c r="N6" s="5"/>
    </row>
    <row r="7">
      <c r="A7" s="17">
        <v>2014.0</v>
      </c>
      <c r="B7" s="17">
        <v>6.0</v>
      </c>
      <c r="C7" s="17">
        <v>3.0</v>
      </c>
      <c r="D7" s="17">
        <v>0.19</v>
      </c>
      <c r="E7" s="17">
        <v>0.12</v>
      </c>
      <c r="F7" s="17">
        <v>0.02</v>
      </c>
      <c r="G7" s="17">
        <v>8.0</v>
      </c>
      <c r="H7" s="17">
        <v>69.6</v>
      </c>
      <c r="I7" s="17">
        <v>1006.3</v>
      </c>
      <c r="J7" s="17">
        <v>1.0</v>
      </c>
      <c r="K7" s="17">
        <v>0.0</v>
      </c>
      <c r="M7" s="2"/>
      <c r="N7" s="5"/>
    </row>
    <row r="8">
      <c r="A8" s="17">
        <v>2014.0</v>
      </c>
      <c r="B8" s="17">
        <v>7.0</v>
      </c>
      <c r="C8" s="17">
        <v>3.0</v>
      </c>
      <c r="D8" s="17">
        <v>0.17</v>
      </c>
      <c r="E8" s="17">
        <v>0.13</v>
      </c>
      <c r="F8" s="17">
        <v>0.55</v>
      </c>
      <c r="G8" s="17">
        <v>9.0</v>
      </c>
      <c r="H8" s="17">
        <v>70.4</v>
      </c>
      <c r="I8" s="17">
        <v>1006.4</v>
      </c>
      <c r="J8" s="17">
        <v>8.0</v>
      </c>
      <c r="K8" s="17">
        <v>3.0</v>
      </c>
      <c r="M8" s="2">
        <v>41821.0</v>
      </c>
      <c r="N8" s="5">
        <f>SUM(C8:C10)</f>
        <v>7</v>
      </c>
    </row>
    <row r="9">
      <c r="A9" s="17">
        <v>2014.0</v>
      </c>
      <c r="B9" s="17">
        <v>8.0</v>
      </c>
      <c r="C9" s="17">
        <v>2.0</v>
      </c>
      <c r="D9" s="17">
        <v>0.12</v>
      </c>
      <c r="E9" s="17">
        <v>0.05</v>
      </c>
      <c r="F9" s="17">
        <v>0.13</v>
      </c>
      <c r="G9" s="17">
        <v>8.0</v>
      </c>
      <c r="H9" s="17">
        <v>70.0</v>
      </c>
      <c r="I9" s="17">
        <v>1005.2</v>
      </c>
      <c r="J9" s="17">
        <v>5.0</v>
      </c>
      <c r="K9" s="17">
        <v>3.0</v>
      </c>
      <c r="M9" s="2"/>
      <c r="N9" s="5"/>
    </row>
    <row r="10">
      <c r="A10" s="17">
        <v>2014.0</v>
      </c>
      <c r="B10" s="17">
        <v>9.0</v>
      </c>
      <c r="C10" s="17">
        <v>2.0</v>
      </c>
      <c r="D10" s="17">
        <v>-0.11</v>
      </c>
      <c r="E10" s="17">
        <v>-0.05</v>
      </c>
      <c r="F10" s="17">
        <v>0.33</v>
      </c>
      <c r="G10" s="17">
        <v>6.9</v>
      </c>
      <c r="H10" s="17">
        <v>73.1</v>
      </c>
      <c r="I10" s="17">
        <v>1004.7</v>
      </c>
      <c r="J10" s="17">
        <v>3.0</v>
      </c>
      <c r="K10" s="17">
        <v>2.0</v>
      </c>
      <c r="M10" s="2"/>
      <c r="N10" s="5"/>
    </row>
    <row r="11">
      <c r="A11" s="17">
        <v>2014.0</v>
      </c>
      <c r="B11" s="17">
        <v>10.0</v>
      </c>
      <c r="C11" s="17">
        <v>4.0</v>
      </c>
      <c r="D11" s="17">
        <v>-0.01</v>
      </c>
      <c r="E11" s="17">
        <v>0.07</v>
      </c>
      <c r="F11" s="17">
        <v>-0.32</v>
      </c>
      <c r="G11" s="17">
        <v>9.4</v>
      </c>
      <c r="H11" s="17">
        <v>60.7</v>
      </c>
      <c r="I11" s="17">
        <v>1004.6</v>
      </c>
      <c r="J11" s="17">
        <v>8.0</v>
      </c>
      <c r="K11" s="17">
        <v>2.0</v>
      </c>
      <c r="M11" s="2">
        <v>41913.0</v>
      </c>
      <c r="N11" s="5">
        <f>SUM(C11:C13)</f>
        <v>5</v>
      </c>
    </row>
    <row r="12">
      <c r="A12" s="17">
        <v>2014.0</v>
      </c>
      <c r="B12" s="17">
        <v>11.0</v>
      </c>
      <c r="C12" s="17">
        <v>1.0</v>
      </c>
      <c r="D12" s="17">
        <v>-0.01</v>
      </c>
      <c r="E12" s="17">
        <v>0.04</v>
      </c>
      <c r="F12" s="17">
        <v>-0.27</v>
      </c>
      <c r="G12" s="17">
        <v>10.4</v>
      </c>
      <c r="H12" s="17">
        <v>63.3</v>
      </c>
      <c r="I12" s="17">
        <v>1009.5</v>
      </c>
      <c r="J12" s="17">
        <v>1.0</v>
      </c>
      <c r="K12" s="17">
        <v>4.0</v>
      </c>
      <c r="M12" s="2"/>
      <c r="N12" s="5"/>
    </row>
    <row r="13">
      <c r="A13" s="17">
        <v>2014.0</v>
      </c>
      <c r="B13" s="17">
        <v>12.0</v>
      </c>
      <c r="C13" s="17">
        <v>0.0</v>
      </c>
      <c r="D13" s="17">
        <v>0.06</v>
      </c>
      <c r="E13" s="17">
        <v>0.08</v>
      </c>
      <c r="F13" s="17">
        <v>-0.09</v>
      </c>
      <c r="G13" s="17">
        <v>11.8</v>
      </c>
      <c r="H13" s="17">
        <v>61.4</v>
      </c>
      <c r="I13" s="17">
        <v>1011.1</v>
      </c>
      <c r="J13" s="17">
        <v>5.0</v>
      </c>
      <c r="K13" s="17">
        <v>1.0</v>
      </c>
      <c r="M13" s="2"/>
      <c r="N13" s="5"/>
    </row>
    <row r="14">
      <c r="A14" s="17">
        <v>2015.0</v>
      </c>
      <c r="B14" s="17">
        <v>1.0</v>
      </c>
      <c r="C14" s="17">
        <v>0.0</v>
      </c>
      <c r="D14" s="17">
        <v>1.52</v>
      </c>
      <c r="E14" s="17">
        <v>1.55</v>
      </c>
      <c r="F14" s="17">
        <v>-0.08</v>
      </c>
      <c r="G14" s="17">
        <v>11.9</v>
      </c>
      <c r="H14" s="17">
        <v>60.4</v>
      </c>
      <c r="I14" s="17">
        <v>1009.2</v>
      </c>
      <c r="J14" s="17">
        <v>3.0</v>
      </c>
      <c r="K14" s="17">
        <v>0.0</v>
      </c>
      <c r="M14" s="2">
        <v>42005.0</v>
      </c>
      <c r="N14" s="5">
        <f>SUM(C14:C16)</f>
        <v>1</v>
      </c>
    </row>
    <row r="15">
      <c r="A15" s="17">
        <v>2015.0</v>
      </c>
      <c r="B15" s="17">
        <v>2.0</v>
      </c>
      <c r="C15" s="17">
        <v>1.0</v>
      </c>
      <c r="D15" s="17">
        <v>1.4</v>
      </c>
      <c r="E15" s="17">
        <v>1.46</v>
      </c>
      <c r="F15" s="17">
        <v>0.55</v>
      </c>
      <c r="G15" s="17">
        <v>12.3</v>
      </c>
      <c r="H15" s="17">
        <v>58.1</v>
      </c>
      <c r="I15" s="17">
        <v>1009.6</v>
      </c>
      <c r="J15" s="17">
        <v>3.0</v>
      </c>
      <c r="K15" s="17">
        <v>0.0</v>
      </c>
      <c r="M15" s="2"/>
      <c r="N15" s="5"/>
    </row>
    <row r="16">
      <c r="A16" s="17">
        <v>2015.0</v>
      </c>
      <c r="B16" s="17">
        <v>3.0</v>
      </c>
      <c r="C16" s="17">
        <v>0.0</v>
      </c>
      <c r="D16" s="17">
        <v>1.48</v>
      </c>
      <c r="E16" s="17">
        <v>1.41</v>
      </c>
      <c r="F16" s="17">
        <v>0.16</v>
      </c>
      <c r="G16" s="17">
        <v>12.9</v>
      </c>
      <c r="H16" s="17">
        <v>53.3</v>
      </c>
      <c r="I16" s="17">
        <v>1010.1</v>
      </c>
      <c r="J16" s="17">
        <v>5.0</v>
      </c>
      <c r="K16" s="17">
        <v>1.0</v>
      </c>
      <c r="M16" s="2"/>
      <c r="N16" s="5"/>
    </row>
    <row r="17">
      <c r="A17" s="17">
        <v>2015.0</v>
      </c>
      <c r="B17" s="17">
        <v>4.0</v>
      </c>
      <c r="C17" s="17">
        <v>0.0</v>
      </c>
      <c r="D17" s="17">
        <v>1.57</v>
      </c>
      <c r="E17" s="17">
        <v>1.63</v>
      </c>
      <c r="F17" s="17">
        <v>0.0</v>
      </c>
      <c r="G17" s="17">
        <v>9.4</v>
      </c>
      <c r="H17" s="17">
        <v>58.0</v>
      </c>
      <c r="I17" s="17">
        <v>1006.9</v>
      </c>
      <c r="J17" s="17">
        <v>3.0</v>
      </c>
      <c r="K17" s="17">
        <v>0.0</v>
      </c>
      <c r="M17" s="2">
        <v>42095.0</v>
      </c>
      <c r="N17" s="5">
        <f>SUM(C17:C19)</f>
        <v>1</v>
      </c>
    </row>
    <row r="18">
      <c r="A18" s="17">
        <v>2015.0</v>
      </c>
      <c r="B18" s="17">
        <v>5.0</v>
      </c>
      <c r="C18" s="17">
        <v>1.0</v>
      </c>
      <c r="D18" s="17">
        <v>1.61</v>
      </c>
      <c r="E18" s="17">
        <v>1.54</v>
      </c>
      <c r="F18" s="17">
        <v>-0.37</v>
      </c>
      <c r="G18" s="17">
        <v>11.4</v>
      </c>
      <c r="H18" s="17">
        <v>61.0</v>
      </c>
      <c r="I18" s="17">
        <v>1007.6</v>
      </c>
      <c r="J18" s="17">
        <v>3.0</v>
      </c>
      <c r="K18" s="17">
        <v>0.0</v>
      </c>
      <c r="M18" s="2"/>
      <c r="N18" s="5"/>
    </row>
    <row r="19">
      <c r="A19" s="17">
        <v>2015.0</v>
      </c>
      <c r="B19" s="17">
        <v>6.0</v>
      </c>
      <c r="C19" s="17">
        <v>0.0</v>
      </c>
      <c r="D19" s="17">
        <v>1.68</v>
      </c>
      <c r="E19" s="17">
        <v>1.61</v>
      </c>
      <c r="F19" s="17">
        <v>0.56</v>
      </c>
      <c r="G19" s="17">
        <v>8.3</v>
      </c>
      <c r="H19" s="17">
        <v>67.9</v>
      </c>
      <c r="I19" s="17">
        <v>1007.0</v>
      </c>
      <c r="J19" s="17">
        <v>8.0</v>
      </c>
      <c r="K19" s="17">
        <v>1.0</v>
      </c>
      <c r="M19" s="2"/>
      <c r="N19" s="5"/>
    </row>
    <row r="20">
      <c r="A20" s="17">
        <v>2015.0</v>
      </c>
      <c r="B20" s="17">
        <v>7.0</v>
      </c>
      <c r="C20" s="17">
        <v>0.0</v>
      </c>
      <c r="D20" s="17">
        <v>1.46</v>
      </c>
      <c r="E20" s="17">
        <v>1.41</v>
      </c>
      <c r="F20" s="17">
        <v>0.03</v>
      </c>
      <c r="G20" s="17">
        <v>7.5</v>
      </c>
      <c r="H20" s="17">
        <v>71.9</v>
      </c>
      <c r="I20" s="17">
        <v>1005.6</v>
      </c>
      <c r="J20" s="17">
        <v>8.0</v>
      </c>
      <c r="K20" s="17">
        <v>0.0</v>
      </c>
      <c r="M20" s="2">
        <v>42186.0</v>
      </c>
      <c r="N20" s="5">
        <f>SUM(C20:C22)</f>
        <v>2</v>
      </c>
    </row>
    <row r="21">
      <c r="A21" s="17">
        <v>2015.0</v>
      </c>
      <c r="B21" s="17">
        <v>8.0</v>
      </c>
      <c r="C21" s="17">
        <v>1.0</v>
      </c>
      <c r="D21" s="17">
        <v>1.52</v>
      </c>
      <c r="E21" s="17">
        <v>1.6</v>
      </c>
      <c r="F21" s="17">
        <v>-0.35</v>
      </c>
      <c r="G21" s="17">
        <v>7.0</v>
      </c>
      <c r="H21" s="17">
        <v>71.7</v>
      </c>
      <c r="I21" s="17">
        <v>1004.6</v>
      </c>
      <c r="J21" s="17">
        <v>1.0</v>
      </c>
      <c r="K21" s="17">
        <v>0.0</v>
      </c>
      <c r="M21" s="2"/>
      <c r="N21" s="5"/>
    </row>
    <row r="22">
      <c r="A22" s="17">
        <v>2015.0</v>
      </c>
      <c r="B22" s="17">
        <v>9.0</v>
      </c>
      <c r="C22" s="17">
        <v>1.0</v>
      </c>
      <c r="D22" s="17">
        <v>1.57</v>
      </c>
      <c r="E22" s="17">
        <v>1.58</v>
      </c>
      <c r="F22" s="17">
        <v>0.2</v>
      </c>
      <c r="G22" s="17">
        <v>8.3</v>
      </c>
      <c r="H22" s="17">
        <v>67.3</v>
      </c>
      <c r="I22" s="17">
        <v>1006.2</v>
      </c>
      <c r="J22" s="17">
        <v>7.0</v>
      </c>
      <c r="K22" s="17">
        <v>1.0</v>
      </c>
      <c r="M22" s="2"/>
      <c r="N22" s="5"/>
    </row>
    <row r="23">
      <c r="A23" s="17">
        <v>2015.0</v>
      </c>
      <c r="B23" s="17">
        <v>10.0</v>
      </c>
      <c r="C23" s="17">
        <v>1.0</v>
      </c>
      <c r="D23" s="17">
        <v>1.39</v>
      </c>
      <c r="E23" s="17">
        <v>1.38</v>
      </c>
      <c r="F23" s="17">
        <v>-0.35</v>
      </c>
      <c r="G23" s="17">
        <v>9.8</v>
      </c>
      <c r="H23" s="17">
        <v>62.8</v>
      </c>
      <c r="I23" s="17">
        <v>1005.1</v>
      </c>
      <c r="J23" s="17">
        <v>0.0</v>
      </c>
      <c r="K23" s="17">
        <v>1.0</v>
      </c>
      <c r="M23" s="2">
        <v>42278.0</v>
      </c>
      <c r="N23" s="5">
        <f>SUM(C23:C25)</f>
        <v>5</v>
      </c>
    </row>
    <row r="24">
      <c r="A24" s="17">
        <v>2015.0</v>
      </c>
      <c r="B24" s="17">
        <v>11.0</v>
      </c>
      <c r="C24" s="17">
        <v>3.0</v>
      </c>
      <c r="D24" s="17">
        <v>1.49</v>
      </c>
      <c r="E24" s="17">
        <v>1.4</v>
      </c>
      <c r="F24" s="17">
        <v>0.68</v>
      </c>
      <c r="G24" s="17">
        <v>9.5</v>
      </c>
      <c r="H24" s="17">
        <v>63.3</v>
      </c>
      <c r="I24" s="17">
        <v>1007.2</v>
      </c>
      <c r="J24" s="17">
        <v>5.0</v>
      </c>
      <c r="K24" s="17">
        <v>1.0</v>
      </c>
      <c r="M24" s="2"/>
      <c r="N24" s="5"/>
    </row>
    <row r="25">
      <c r="A25" s="17">
        <v>2015.0</v>
      </c>
      <c r="B25" s="17">
        <v>12.0</v>
      </c>
      <c r="C25" s="17">
        <v>1.0</v>
      </c>
      <c r="D25" s="17">
        <v>1.37</v>
      </c>
      <c r="E25" s="17">
        <v>1.34</v>
      </c>
      <c r="F25" s="17">
        <v>0.51</v>
      </c>
      <c r="G25" s="17">
        <v>11.5</v>
      </c>
      <c r="H25" s="17">
        <v>54.0</v>
      </c>
      <c r="I25" s="17">
        <v>1009.0</v>
      </c>
      <c r="J25" s="17">
        <v>0.0</v>
      </c>
      <c r="K25" s="17">
        <v>3.0</v>
      </c>
      <c r="M25" s="2"/>
      <c r="N25" s="5"/>
    </row>
    <row r="26">
      <c r="A26" s="17">
        <v>2016.0</v>
      </c>
      <c r="B26" s="17">
        <v>1.0</v>
      </c>
      <c r="C26" s="17">
        <v>0.0</v>
      </c>
      <c r="D26" s="17">
        <v>-0.45</v>
      </c>
      <c r="E26" s="17">
        <v>-0.49</v>
      </c>
      <c r="F26" s="17">
        <v>0.14</v>
      </c>
      <c r="G26" s="17">
        <v>12.3</v>
      </c>
      <c r="H26" s="17">
        <v>58.0</v>
      </c>
      <c r="I26" s="17">
        <v>1011.1</v>
      </c>
      <c r="J26" s="17">
        <v>1.0</v>
      </c>
      <c r="K26" s="17">
        <v>1.0</v>
      </c>
      <c r="M26" s="2">
        <v>42370.0</v>
      </c>
      <c r="N26" s="5">
        <f>SUM(C26:C28)</f>
        <v>0</v>
      </c>
    </row>
    <row r="27">
      <c r="A27" s="17">
        <v>2016.0</v>
      </c>
      <c r="B27" s="17">
        <v>2.0</v>
      </c>
      <c r="C27" s="17">
        <v>0.0</v>
      </c>
      <c r="D27" s="17">
        <v>-0.5</v>
      </c>
      <c r="E27" s="17">
        <v>-0.51</v>
      </c>
      <c r="F27" s="17">
        <v>0.68</v>
      </c>
      <c r="G27" s="17">
        <v>12.9</v>
      </c>
      <c r="H27" s="17">
        <v>61.6</v>
      </c>
      <c r="I27" s="17">
        <v>1010.6</v>
      </c>
      <c r="J27" s="17">
        <v>0.0</v>
      </c>
      <c r="K27" s="17">
        <v>0.0</v>
      </c>
      <c r="M27" s="2"/>
      <c r="N27" s="5"/>
    </row>
    <row r="28">
      <c r="A28" s="17">
        <v>2016.0</v>
      </c>
      <c r="B28" s="17">
        <v>3.0</v>
      </c>
      <c r="C28" s="17">
        <v>0.0</v>
      </c>
      <c r="D28" s="17">
        <v>-0.53</v>
      </c>
      <c r="E28" s="17">
        <v>-0.46</v>
      </c>
      <c r="F28" s="17">
        <v>-0.41</v>
      </c>
      <c r="G28" s="17">
        <v>13.0</v>
      </c>
      <c r="H28" s="17">
        <v>51.0</v>
      </c>
      <c r="I28" s="17">
        <v>1008.4</v>
      </c>
      <c r="J28" s="17">
        <v>0.0</v>
      </c>
      <c r="K28" s="17">
        <v>0.0</v>
      </c>
      <c r="M28" s="2"/>
      <c r="N28" s="5"/>
    </row>
    <row r="29">
      <c r="A29" s="17">
        <v>2016.0</v>
      </c>
      <c r="B29" s="17">
        <v>4.0</v>
      </c>
      <c r="C29" s="17">
        <v>0.0</v>
      </c>
      <c r="D29" s="17">
        <v>-0.52</v>
      </c>
      <c r="E29" s="17">
        <v>-0.6</v>
      </c>
      <c r="F29" s="17">
        <v>0.58</v>
      </c>
      <c r="G29" s="17">
        <v>11.4</v>
      </c>
      <c r="H29" s="17">
        <v>65.0</v>
      </c>
      <c r="I29" s="17">
        <v>1008.5</v>
      </c>
      <c r="J29" s="17">
        <v>5.0</v>
      </c>
      <c r="K29" s="17">
        <v>0.0</v>
      </c>
      <c r="M29" s="2">
        <v>42461.0</v>
      </c>
      <c r="N29" s="5">
        <f>SUM(C29:C31)</f>
        <v>3</v>
      </c>
    </row>
    <row r="30">
      <c r="A30" s="17">
        <v>2016.0</v>
      </c>
      <c r="B30" s="17">
        <v>5.0</v>
      </c>
      <c r="C30" s="17">
        <v>0.0</v>
      </c>
      <c r="D30" s="17">
        <v>-0.58</v>
      </c>
      <c r="E30" s="17">
        <v>-0.58</v>
      </c>
      <c r="F30" s="17">
        <v>0.69</v>
      </c>
      <c r="G30" s="17">
        <v>10.7</v>
      </c>
      <c r="H30" s="17">
        <v>56.0</v>
      </c>
      <c r="I30" s="17">
        <v>1007.8</v>
      </c>
      <c r="J30" s="17">
        <v>1.0</v>
      </c>
      <c r="K30" s="17">
        <v>0.0</v>
      </c>
      <c r="M30" s="2"/>
      <c r="N30" s="5"/>
    </row>
    <row r="31">
      <c r="A31" s="17">
        <v>2016.0</v>
      </c>
      <c r="B31" s="17">
        <v>6.0</v>
      </c>
      <c r="C31" s="17">
        <v>3.0</v>
      </c>
      <c r="D31" s="17">
        <v>-0.52</v>
      </c>
      <c r="E31" s="17">
        <v>-0.52</v>
      </c>
      <c r="F31" s="17">
        <v>0.16</v>
      </c>
      <c r="G31" s="17">
        <v>7.4</v>
      </c>
      <c r="H31" s="17">
        <v>64.7</v>
      </c>
      <c r="I31" s="17">
        <v>1004.6</v>
      </c>
      <c r="J31" s="17">
        <v>8.0</v>
      </c>
      <c r="K31" s="17">
        <v>0.0</v>
      </c>
      <c r="M31" s="2"/>
      <c r="N31" s="5"/>
    </row>
    <row r="32">
      <c r="A32" s="17">
        <v>2016.0</v>
      </c>
      <c r="B32" s="17">
        <v>7.0</v>
      </c>
      <c r="C32" s="17">
        <v>1.0</v>
      </c>
      <c r="D32" s="17">
        <v>-0.47</v>
      </c>
      <c r="E32" s="17">
        <v>-0.49</v>
      </c>
      <c r="F32" s="17">
        <v>-0.44</v>
      </c>
      <c r="G32" s="17">
        <v>8.2</v>
      </c>
      <c r="H32" s="17">
        <v>72.1</v>
      </c>
      <c r="I32" s="17">
        <v>1004.9</v>
      </c>
      <c r="J32" s="17">
        <v>3.0</v>
      </c>
      <c r="K32" s="17">
        <v>3.0</v>
      </c>
      <c r="M32" s="2">
        <v>42552.0</v>
      </c>
      <c r="N32" s="5">
        <f>SUM(C32:C34)</f>
        <v>5</v>
      </c>
    </row>
    <row r="33">
      <c r="A33" s="17">
        <v>2016.0</v>
      </c>
      <c r="B33" s="17">
        <v>8.0</v>
      </c>
      <c r="C33" s="17">
        <v>2.0</v>
      </c>
      <c r="D33" s="17">
        <v>-0.45</v>
      </c>
      <c r="E33" s="17">
        <v>-0.47</v>
      </c>
      <c r="F33" s="17">
        <v>0.15</v>
      </c>
      <c r="G33" s="17">
        <v>8.4</v>
      </c>
      <c r="H33" s="17">
        <v>70.4</v>
      </c>
      <c r="I33" s="17">
        <v>1004.4</v>
      </c>
      <c r="J33" s="17">
        <v>7.0</v>
      </c>
      <c r="K33" s="17">
        <v>1.0</v>
      </c>
      <c r="M33" s="2"/>
      <c r="N33" s="5"/>
    </row>
    <row r="34">
      <c r="A34" s="17">
        <v>2016.0</v>
      </c>
      <c r="B34" s="17">
        <v>9.0</v>
      </c>
      <c r="C34" s="17">
        <v>2.0</v>
      </c>
      <c r="D34" s="17">
        <v>-0.27</v>
      </c>
      <c r="E34" s="17">
        <v>-0.2</v>
      </c>
      <c r="F34" s="17">
        <v>-0.23</v>
      </c>
      <c r="G34" s="17">
        <v>8.9</v>
      </c>
      <c r="H34" s="17">
        <v>72.5</v>
      </c>
      <c r="I34" s="17">
        <v>1004.5</v>
      </c>
      <c r="J34" s="17">
        <v>7.0</v>
      </c>
      <c r="K34" s="17">
        <v>2.0</v>
      </c>
      <c r="M34" s="2"/>
      <c r="N34" s="5"/>
    </row>
    <row r="35">
      <c r="A35" s="17">
        <v>2016.0</v>
      </c>
      <c r="B35" s="17">
        <v>10.0</v>
      </c>
      <c r="C35" s="17">
        <v>5.0</v>
      </c>
      <c r="D35" s="17">
        <v>-0.67</v>
      </c>
      <c r="E35" s="17">
        <v>-0.63</v>
      </c>
      <c r="F35" s="17">
        <v>-0.26</v>
      </c>
      <c r="G35" s="17">
        <v>9.0</v>
      </c>
      <c r="H35" s="17">
        <v>64.6</v>
      </c>
      <c r="I35" s="17">
        <v>1004.5</v>
      </c>
      <c r="J35" s="17">
        <v>0.0</v>
      </c>
      <c r="K35" s="17">
        <v>2.0</v>
      </c>
      <c r="M35" s="2">
        <v>42644.0</v>
      </c>
      <c r="N35" s="5">
        <f>SUM(C35:C37)</f>
        <v>9</v>
      </c>
    </row>
    <row r="36">
      <c r="A36" s="17">
        <v>2016.0</v>
      </c>
      <c r="B36" s="17">
        <v>11.0</v>
      </c>
      <c r="C36" s="17">
        <v>3.0</v>
      </c>
      <c r="D36" s="17">
        <v>-0.21</v>
      </c>
      <c r="E36" s="17">
        <v>-0.12</v>
      </c>
      <c r="F36" s="17">
        <v>0.2</v>
      </c>
      <c r="G36" s="17">
        <v>9.8</v>
      </c>
      <c r="H36" s="17">
        <v>68.0</v>
      </c>
      <c r="I36" s="17">
        <v>1007.8</v>
      </c>
      <c r="J36" s="17">
        <v>4.0</v>
      </c>
      <c r="K36" s="17">
        <v>5.0</v>
      </c>
      <c r="M36" s="2"/>
      <c r="N36" s="5"/>
    </row>
    <row r="37">
      <c r="A37" s="17">
        <v>2016.0</v>
      </c>
      <c r="B37" s="17">
        <v>12.0</v>
      </c>
      <c r="C37" s="17">
        <v>1.0</v>
      </c>
      <c r="D37" s="17">
        <v>-0.42</v>
      </c>
      <c r="E37" s="17">
        <v>-0.31</v>
      </c>
      <c r="F37" s="17">
        <v>-0.14</v>
      </c>
      <c r="G37" s="17">
        <v>11.8</v>
      </c>
      <c r="H37" s="17">
        <v>54.8</v>
      </c>
      <c r="I37" s="17">
        <v>1010.8</v>
      </c>
      <c r="J37" s="17">
        <v>7.0</v>
      </c>
      <c r="K37" s="17">
        <v>3.0</v>
      </c>
      <c r="M37" s="2"/>
      <c r="N37" s="5"/>
    </row>
    <row r="38">
      <c r="A38" s="17">
        <v>2017.0</v>
      </c>
      <c r="B38" s="17">
        <v>1.0</v>
      </c>
      <c r="C38" s="17">
        <v>0.0</v>
      </c>
      <c r="D38" s="17">
        <v>0.08</v>
      </c>
      <c r="E38" s="17">
        <v>0.06</v>
      </c>
      <c r="F38" s="17">
        <v>0.49</v>
      </c>
      <c r="G38" s="17">
        <v>12.2</v>
      </c>
      <c r="H38" s="17">
        <v>53.6</v>
      </c>
      <c r="I38" s="17">
        <v>1009.7</v>
      </c>
      <c r="J38" s="17">
        <v>7.0</v>
      </c>
      <c r="K38" s="17">
        <v>1.0</v>
      </c>
      <c r="M38" s="2">
        <v>42736.0</v>
      </c>
      <c r="N38" s="5">
        <f>SUM(C38:C40)</f>
        <v>1</v>
      </c>
    </row>
    <row r="39">
      <c r="A39" s="17">
        <v>2017.0</v>
      </c>
      <c r="B39" s="17">
        <v>2.0</v>
      </c>
      <c r="C39" s="17">
        <v>0.0</v>
      </c>
      <c r="D39" s="17">
        <v>-0.07</v>
      </c>
      <c r="E39" s="17">
        <v>-0.02</v>
      </c>
      <c r="F39" s="17">
        <v>-0.27</v>
      </c>
      <c r="G39" s="17">
        <v>12.0</v>
      </c>
      <c r="H39" s="17">
        <v>51.8</v>
      </c>
      <c r="I39" s="17">
        <v>1010.5</v>
      </c>
      <c r="J39" s="17">
        <v>4.0</v>
      </c>
      <c r="K39" s="17">
        <v>0.0</v>
      </c>
      <c r="M39" s="2"/>
      <c r="N39" s="5"/>
    </row>
    <row r="40">
      <c r="A40" s="17">
        <v>2017.0</v>
      </c>
      <c r="B40" s="17">
        <v>3.0</v>
      </c>
      <c r="C40" s="17">
        <v>1.0</v>
      </c>
      <c r="D40" s="17">
        <v>-0.04</v>
      </c>
      <c r="E40" s="17">
        <v>-0.03</v>
      </c>
      <c r="F40" s="17">
        <v>0.68</v>
      </c>
      <c r="G40" s="17">
        <v>11.5</v>
      </c>
      <c r="H40" s="17">
        <v>55.9</v>
      </c>
      <c r="I40" s="17">
        <v>1009.7</v>
      </c>
      <c r="J40" s="17">
        <v>3.0</v>
      </c>
      <c r="K40" s="17">
        <v>0.0</v>
      </c>
      <c r="M40" s="2"/>
      <c r="N40" s="5"/>
    </row>
    <row r="41">
      <c r="A41" s="17">
        <v>2017.0</v>
      </c>
      <c r="B41" s="17">
        <v>4.0</v>
      </c>
      <c r="C41" s="17">
        <v>1.0</v>
      </c>
      <c r="D41" s="17">
        <v>-0.13</v>
      </c>
      <c r="E41" s="17">
        <v>-0.11</v>
      </c>
      <c r="F41" s="17">
        <v>0.29</v>
      </c>
      <c r="G41" s="17">
        <v>10.9</v>
      </c>
      <c r="H41" s="17">
        <v>62.2</v>
      </c>
      <c r="I41" s="17">
        <v>1008.8</v>
      </c>
      <c r="J41" s="17">
        <v>2.0</v>
      </c>
      <c r="K41" s="17">
        <v>1.0</v>
      </c>
      <c r="M41" s="2">
        <v>42826.0</v>
      </c>
      <c r="N41" s="5">
        <f>SUM(C41:C43)</f>
        <v>4</v>
      </c>
    </row>
    <row r="42">
      <c r="A42" s="17">
        <v>2017.0</v>
      </c>
      <c r="B42" s="17">
        <v>5.0</v>
      </c>
      <c r="C42" s="17">
        <v>1.0</v>
      </c>
      <c r="D42" s="17">
        <v>0.03</v>
      </c>
      <c r="E42" s="17">
        <v>-0.01</v>
      </c>
      <c r="F42" s="17">
        <v>0.02</v>
      </c>
      <c r="G42" s="17">
        <v>10.8</v>
      </c>
      <c r="H42" s="17">
        <v>57.2</v>
      </c>
      <c r="I42" s="17">
        <v>1008.6</v>
      </c>
      <c r="J42" s="17">
        <v>8.0</v>
      </c>
      <c r="K42" s="17">
        <v>1.0</v>
      </c>
      <c r="M42" s="2"/>
      <c r="N42" s="5"/>
    </row>
    <row r="43">
      <c r="A43" s="17">
        <v>2017.0</v>
      </c>
      <c r="B43" s="17">
        <v>6.0</v>
      </c>
      <c r="C43" s="17">
        <v>2.0</v>
      </c>
      <c r="D43" s="17">
        <v>0.08</v>
      </c>
      <c r="E43" s="17">
        <v>0.0</v>
      </c>
      <c r="F43" s="17">
        <v>0.62</v>
      </c>
      <c r="G43" s="17">
        <v>7.8</v>
      </c>
      <c r="H43" s="17">
        <v>71.8</v>
      </c>
      <c r="I43" s="17">
        <v>1004.8</v>
      </c>
      <c r="J43" s="17">
        <v>5.0</v>
      </c>
      <c r="K43" s="17">
        <v>1.0</v>
      </c>
      <c r="M43" s="2"/>
      <c r="N43" s="5"/>
    </row>
    <row r="44">
      <c r="A44" s="17">
        <v>2017.0</v>
      </c>
      <c r="B44" s="17">
        <v>7.0</v>
      </c>
      <c r="C44" s="17">
        <v>4.0</v>
      </c>
      <c r="D44" s="17">
        <v>0.15</v>
      </c>
      <c r="E44" s="17">
        <v>0.14</v>
      </c>
      <c r="F44" s="17">
        <v>0.47</v>
      </c>
      <c r="G44" s="17">
        <v>8.2</v>
      </c>
      <c r="H44" s="17">
        <v>68.2</v>
      </c>
      <c r="I44" s="17">
        <v>1005.6</v>
      </c>
      <c r="J44" s="17">
        <v>6.0</v>
      </c>
      <c r="K44" s="17">
        <v>2.0</v>
      </c>
      <c r="M44" s="2">
        <v>42917.0</v>
      </c>
      <c r="N44" s="5">
        <f>SUM(C44:C46)</f>
        <v>8</v>
      </c>
    </row>
    <row r="45">
      <c r="A45" s="17">
        <v>2017.0</v>
      </c>
      <c r="B45" s="17">
        <v>8.0</v>
      </c>
      <c r="C45" s="17">
        <v>2.0</v>
      </c>
      <c r="D45" s="17">
        <v>-0.01</v>
      </c>
      <c r="E45" s="17">
        <v>0.04</v>
      </c>
      <c r="F45" s="17">
        <v>0.54</v>
      </c>
      <c r="G45" s="17">
        <v>8.3</v>
      </c>
      <c r="H45" s="17">
        <v>70.8</v>
      </c>
      <c r="I45" s="17">
        <v>1004.5</v>
      </c>
      <c r="J45" s="17">
        <v>6.0</v>
      </c>
      <c r="K45" s="17">
        <v>4.0</v>
      </c>
      <c r="M45" s="2"/>
      <c r="N45" s="5"/>
    </row>
    <row r="46">
      <c r="A46" s="17">
        <v>2017.0</v>
      </c>
      <c r="B46" s="17">
        <v>9.0</v>
      </c>
      <c r="C46" s="17">
        <v>2.0</v>
      </c>
      <c r="D46" s="17">
        <v>-0.09</v>
      </c>
      <c r="E46" s="17">
        <v>-0.14</v>
      </c>
      <c r="F46" s="17">
        <v>-0.02</v>
      </c>
      <c r="G46" s="17">
        <v>8.1</v>
      </c>
      <c r="H46" s="17">
        <v>67.6</v>
      </c>
      <c r="I46" s="17">
        <v>1003.4</v>
      </c>
      <c r="J46" s="17">
        <v>7.0</v>
      </c>
      <c r="K46" s="17">
        <v>2.0</v>
      </c>
      <c r="M46" s="2"/>
      <c r="N46" s="5"/>
    </row>
    <row r="47">
      <c r="A47" s="17">
        <v>2017.0</v>
      </c>
      <c r="B47" s="17">
        <v>10.0</v>
      </c>
      <c r="C47" s="17">
        <v>2.0</v>
      </c>
      <c r="D47" s="17">
        <v>-0.16</v>
      </c>
      <c r="E47" s="17">
        <v>-0.15</v>
      </c>
      <c r="F47" s="17">
        <v>0.41</v>
      </c>
      <c r="G47" s="17">
        <v>8.6</v>
      </c>
      <c r="H47" s="17">
        <v>64.0</v>
      </c>
      <c r="I47" s="17">
        <v>1004.2</v>
      </c>
      <c r="J47" s="17">
        <v>7.0</v>
      </c>
      <c r="K47" s="17">
        <v>2.0</v>
      </c>
      <c r="M47" s="2">
        <v>43009.0</v>
      </c>
      <c r="N47" s="5">
        <f>SUM(C47:C49)</f>
        <v>5</v>
      </c>
    </row>
    <row r="48">
      <c r="A48" s="17">
        <v>2017.0</v>
      </c>
      <c r="B48" s="17">
        <v>11.0</v>
      </c>
      <c r="C48" s="17">
        <v>3.0</v>
      </c>
      <c r="D48" s="17">
        <v>-0.01</v>
      </c>
      <c r="E48" s="17">
        <v>0.03</v>
      </c>
      <c r="F48" s="17">
        <v>-0.05</v>
      </c>
      <c r="G48" s="17">
        <v>10.6</v>
      </c>
      <c r="H48" s="17">
        <v>65.4</v>
      </c>
      <c r="I48" s="17">
        <v>1007.0</v>
      </c>
      <c r="J48" s="17">
        <v>7.0</v>
      </c>
      <c r="K48" s="17">
        <v>2.0</v>
      </c>
      <c r="M48" s="2"/>
      <c r="N48" s="5"/>
    </row>
    <row r="49">
      <c r="A49" s="17">
        <v>2017.0</v>
      </c>
      <c r="B49" s="17">
        <v>12.0</v>
      </c>
      <c r="C49" s="17">
        <v>0.0</v>
      </c>
      <c r="D49" s="17">
        <v>0.07</v>
      </c>
      <c r="E49" s="17">
        <v>0.0</v>
      </c>
      <c r="F49" s="17">
        <v>0.35</v>
      </c>
      <c r="G49" s="17">
        <v>12.3</v>
      </c>
      <c r="H49" s="17">
        <v>51.1</v>
      </c>
      <c r="I49" s="17">
        <v>1009.3</v>
      </c>
      <c r="J49" s="17">
        <v>7.0</v>
      </c>
      <c r="K49" s="17">
        <v>3.0</v>
      </c>
      <c r="M49" s="2"/>
      <c r="N49" s="5"/>
    </row>
    <row r="50">
      <c r="A50" s="17">
        <v>2018.0</v>
      </c>
      <c r="B50" s="17">
        <v>1.0</v>
      </c>
      <c r="C50" s="17">
        <v>2.0</v>
      </c>
      <c r="D50" s="17">
        <v>-0.16</v>
      </c>
      <c r="E50" s="17">
        <v>-0.23</v>
      </c>
      <c r="F50" s="17">
        <v>-0.1</v>
      </c>
      <c r="G50" s="17">
        <v>13.0</v>
      </c>
      <c r="H50" s="17">
        <v>57.6</v>
      </c>
      <c r="I50" s="17">
        <v>1010.3</v>
      </c>
      <c r="J50" s="17">
        <v>6.0</v>
      </c>
      <c r="K50" s="17">
        <v>0.0</v>
      </c>
      <c r="M50" s="2">
        <v>43101.0</v>
      </c>
      <c r="N50" s="5">
        <f>SUM(C50:C52)</f>
        <v>2</v>
      </c>
    </row>
    <row r="51">
      <c r="A51" s="17">
        <v>2018.0</v>
      </c>
      <c r="B51" s="17">
        <v>2.0</v>
      </c>
      <c r="C51" s="17">
        <v>0.0</v>
      </c>
      <c r="D51" s="17">
        <v>-0.44</v>
      </c>
      <c r="E51" s="17">
        <v>-0.45</v>
      </c>
      <c r="F51" s="17">
        <v>0.23</v>
      </c>
      <c r="G51" s="17">
        <v>13.1</v>
      </c>
      <c r="H51" s="17">
        <v>54.5</v>
      </c>
      <c r="I51" s="17">
        <v>1010.6</v>
      </c>
      <c r="J51" s="17">
        <v>6.0</v>
      </c>
      <c r="K51" s="17">
        <v>2.0</v>
      </c>
      <c r="M51" s="2"/>
      <c r="N51" s="5"/>
    </row>
    <row r="52">
      <c r="A52" s="17">
        <v>2018.0</v>
      </c>
      <c r="B52" s="17">
        <v>3.0</v>
      </c>
      <c r="C52" s="17">
        <v>0.0</v>
      </c>
      <c r="D52" s="17">
        <v>-0.27</v>
      </c>
      <c r="E52" s="17">
        <v>-0.29</v>
      </c>
      <c r="F52" s="17">
        <v>0.46</v>
      </c>
      <c r="G52" s="17">
        <v>13.4</v>
      </c>
      <c r="H52" s="17">
        <v>57.1</v>
      </c>
      <c r="I52" s="17">
        <v>1008.7</v>
      </c>
      <c r="J52" s="17">
        <v>8.0</v>
      </c>
      <c r="K52" s="17">
        <v>0.0</v>
      </c>
      <c r="M52" s="2"/>
      <c r="N52" s="5"/>
    </row>
    <row r="53">
      <c r="A53" s="17">
        <v>2018.0</v>
      </c>
      <c r="B53" s="17">
        <v>4.0</v>
      </c>
      <c r="C53" s="17">
        <v>0.0</v>
      </c>
      <c r="D53" s="17">
        <v>-0.38</v>
      </c>
      <c r="E53" s="17">
        <v>-0.33</v>
      </c>
      <c r="F53" s="17">
        <v>0.03</v>
      </c>
      <c r="G53" s="17">
        <v>10.1</v>
      </c>
      <c r="H53" s="17">
        <v>59.5</v>
      </c>
      <c r="I53" s="17">
        <v>1008.5</v>
      </c>
      <c r="J53" s="17">
        <v>4.0</v>
      </c>
      <c r="K53" s="17">
        <v>0.0</v>
      </c>
      <c r="M53" s="2">
        <v>43191.0</v>
      </c>
      <c r="N53" s="5">
        <f>SUM(C53:C55)</f>
        <v>0</v>
      </c>
    </row>
    <row r="54">
      <c r="A54" s="17">
        <v>2018.0</v>
      </c>
      <c r="B54" s="17">
        <v>5.0</v>
      </c>
      <c r="C54" s="17">
        <v>0.0</v>
      </c>
      <c r="D54" s="17">
        <v>-0.45</v>
      </c>
      <c r="E54" s="17">
        <v>-0.44</v>
      </c>
      <c r="F54" s="17">
        <v>0.41</v>
      </c>
      <c r="G54" s="17">
        <v>10.6</v>
      </c>
      <c r="H54" s="17">
        <v>66.3</v>
      </c>
      <c r="I54" s="17">
        <v>1008.1</v>
      </c>
      <c r="J54" s="17">
        <v>8.0</v>
      </c>
      <c r="K54" s="17">
        <v>0.0</v>
      </c>
      <c r="M54" s="2"/>
      <c r="N54" s="5"/>
    </row>
    <row r="55">
      <c r="A55" s="17">
        <v>2018.0</v>
      </c>
      <c r="B55" s="17">
        <v>6.0</v>
      </c>
      <c r="C55" s="17">
        <v>0.0</v>
      </c>
      <c r="D55" s="17">
        <v>-0.27</v>
      </c>
      <c r="E55" s="17">
        <v>-0.27</v>
      </c>
      <c r="F55" s="17">
        <v>-0.43</v>
      </c>
      <c r="G55" s="17">
        <v>8.1</v>
      </c>
      <c r="H55" s="17">
        <v>66.6</v>
      </c>
      <c r="I55" s="17">
        <v>1006.2</v>
      </c>
      <c r="J55" s="17">
        <v>7.0</v>
      </c>
      <c r="K55" s="17">
        <v>0.0</v>
      </c>
      <c r="M55" s="2"/>
      <c r="N55" s="5"/>
    </row>
    <row r="56">
      <c r="A56" s="17">
        <v>2018.0</v>
      </c>
      <c r="B56" s="17">
        <v>7.0</v>
      </c>
      <c r="C56" s="17">
        <v>1.0</v>
      </c>
      <c r="D56" s="17">
        <v>-0.27</v>
      </c>
      <c r="E56" s="17">
        <v>-0.29</v>
      </c>
      <c r="F56" s="17">
        <v>0.57</v>
      </c>
      <c r="G56" s="17">
        <v>8.4</v>
      </c>
      <c r="H56" s="17">
        <v>69.9</v>
      </c>
      <c r="I56" s="17">
        <v>1005.5</v>
      </c>
      <c r="J56" s="17">
        <v>2.0</v>
      </c>
      <c r="K56" s="17">
        <v>0.0</v>
      </c>
      <c r="M56" s="2">
        <v>43282.0</v>
      </c>
      <c r="N56" s="5">
        <f>SUM(C56:C58)</f>
        <v>6</v>
      </c>
    </row>
    <row r="57">
      <c r="A57" s="17">
        <v>2018.0</v>
      </c>
      <c r="B57" s="17">
        <v>8.0</v>
      </c>
      <c r="C57" s="17">
        <v>2.0</v>
      </c>
      <c r="D57" s="17">
        <v>-0.4</v>
      </c>
      <c r="E57" s="17">
        <v>-0.42</v>
      </c>
      <c r="F57" s="17">
        <v>0.48</v>
      </c>
      <c r="G57" s="17">
        <v>8.1</v>
      </c>
      <c r="H57" s="17">
        <v>70.4</v>
      </c>
      <c r="I57" s="17">
        <v>1004.0</v>
      </c>
      <c r="J57" s="17">
        <v>7.0</v>
      </c>
      <c r="K57" s="17">
        <v>1.0</v>
      </c>
      <c r="M57" s="2"/>
      <c r="N57" s="5"/>
    </row>
    <row r="58">
      <c r="A58" s="17">
        <v>2018.0</v>
      </c>
      <c r="B58" s="17">
        <v>9.0</v>
      </c>
      <c r="C58" s="17">
        <v>3.0</v>
      </c>
      <c r="D58" s="17">
        <v>-0.38</v>
      </c>
      <c r="E58" s="17">
        <v>-0.4</v>
      </c>
      <c r="F58" s="17">
        <v>0.49</v>
      </c>
      <c r="G58" s="17">
        <v>8.5</v>
      </c>
      <c r="H58" s="17">
        <v>67.9</v>
      </c>
      <c r="I58" s="17">
        <v>1005.1</v>
      </c>
      <c r="J58" s="17">
        <v>4.0</v>
      </c>
      <c r="K58" s="17">
        <v>2.0</v>
      </c>
      <c r="M58" s="2"/>
      <c r="N58" s="5"/>
    </row>
    <row r="59">
      <c r="A59" s="17">
        <v>2018.0</v>
      </c>
      <c r="B59" s="17">
        <v>10.0</v>
      </c>
      <c r="C59" s="17">
        <v>4.0</v>
      </c>
      <c r="D59" s="17">
        <v>-0.48</v>
      </c>
      <c r="E59" s="17">
        <v>-0.48</v>
      </c>
      <c r="F59" s="17">
        <v>0.47</v>
      </c>
      <c r="G59" s="17">
        <v>9.1</v>
      </c>
      <c r="H59" s="17">
        <v>67.0</v>
      </c>
      <c r="I59" s="17">
        <v>1006.2</v>
      </c>
      <c r="J59" s="17">
        <v>4.0</v>
      </c>
      <c r="K59" s="17">
        <v>3.0</v>
      </c>
      <c r="M59" s="2">
        <v>43374.0</v>
      </c>
      <c r="N59" s="5">
        <f>SUM(C59:C61)</f>
        <v>5</v>
      </c>
    </row>
    <row r="60">
      <c r="A60" s="17">
        <v>2018.0</v>
      </c>
      <c r="B60" s="17">
        <v>11.0</v>
      </c>
      <c r="C60" s="17">
        <v>0.0</v>
      </c>
      <c r="D60" s="17">
        <v>-0.21</v>
      </c>
      <c r="E60" s="17">
        <v>-0.17</v>
      </c>
      <c r="F60" s="17">
        <v>0.3</v>
      </c>
      <c r="G60" s="17">
        <v>10.3</v>
      </c>
      <c r="H60" s="17">
        <v>69.6</v>
      </c>
      <c r="I60" s="17">
        <v>1009.0</v>
      </c>
      <c r="J60" s="17">
        <v>6.0</v>
      </c>
      <c r="K60" s="17">
        <v>4.0</v>
      </c>
      <c r="M60" s="2"/>
      <c r="N60" s="5"/>
    </row>
    <row r="61">
      <c r="A61" s="17">
        <v>2018.0</v>
      </c>
      <c r="B61" s="17">
        <v>12.0</v>
      </c>
      <c r="C61" s="17">
        <v>1.0</v>
      </c>
      <c r="D61" s="17">
        <v>-0.2</v>
      </c>
      <c r="E61" s="17">
        <v>-0.21</v>
      </c>
      <c r="F61" s="17">
        <v>0.25</v>
      </c>
      <c r="G61" s="17">
        <v>12.5</v>
      </c>
      <c r="H61" s="17">
        <v>50.5</v>
      </c>
      <c r="I61" s="17">
        <v>1009.8</v>
      </c>
      <c r="J61" s="17">
        <v>0.0</v>
      </c>
      <c r="K61" s="17">
        <v>0.0</v>
      </c>
      <c r="M61" s="2"/>
      <c r="N61" s="5"/>
    </row>
    <row r="62">
      <c r="A62" s="17">
        <v>2019.0</v>
      </c>
      <c r="B62" s="17">
        <v>1.0</v>
      </c>
      <c r="C62" s="17">
        <v>1.0</v>
      </c>
      <c r="D62" s="17">
        <v>0.58</v>
      </c>
      <c r="E62" s="17">
        <v>0.6</v>
      </c>
      <c r="F62" s="17">
        <v>0.51</v>
      </c>
      <c r="G62" s="17">
        <v>12.5</v>
      </c>
      <c r="H62" s="17">
        <v>54.4</v>
      </c>
      <c r="I62" s="17">
        <v>1009.6</v>
      </c>
      <c r="J62" s="17">
        <v>4.0</v>
      </c>
      <c r="K62" s="17">
        <v>1.0</v>
      </c>
      <c r="M62" s="2">
        <v>43466.0</v>
      </c>
      <c r="N62" s="5">
        <f>SUM(C62:C64)</f>
        <v>1</v>
      </c>
    </row>
    <row r="63">
      <c r="A63" s="17">
        <v>2019.0</v>
      </c>
      <c r="B63" s="17">
        <v>2.0</v>
      </c>
      <c r="C63" s="17">
        <v>0.0</v>
      </c>
      <c r="D63" s="17">
        <v>0.67</v>
      </c>
      <c r="E63" s="17">
        <v>0.73</v>
      </c>
      <c r="F63" s="17">
        <v>-0.11</v>
      </c>
      <c r="G63" s="17">
        <v>13.7</v>
      </c>
      <c r="H63" s="17">
        <v>54.6</v>
      </c>
      <c r="I63" s="17">
        <v>1008.9</v>
      </c>
      <c r="J63" s="17">
        <v>1.0</v>
      </c>
      <c r="K63" s="17">
        <v>1.0</v>
      </c>
      <c r="M63" s="2"/>
      <c r="N63" s="5"/>
    </row>
    <row r="64">
      <c r="A64" s="17">
        <v>2019.0</v>
      </c>
      <c r="B64" s="17">
        <v>3.0</v>
      </c>
      <c r="C64" s="17">
        <v>0.0</v>
      </c>
      <c r="D64" s="17">
        <v>0.89</v>
      </c>
      <c r="E64" s="17">
        <v>0.91</v>
      </c>
      <c r="F64" s="17">
        <v>-0.17</v>
      </c>
      <c r="G64" s="17">
        <v>13.8</v>
      </c>
      <c r="H64" s="17">
        <v>49.0</v>
      </c>
      <c r="I64" s="17">
        <v>1009.0</v>
      </c>
      <c r="J64" s="17">
        <v>8.0</v>
      </c>
      <c r="K64" s="17">
        <v>0.0</v>
      </c>
      <c r="M64" s="2"/>
      <c r="N64" s="5"/>
    </row>
    <row r="65">
      <c r="A65" s="17">
        <v>2019.0</v>
      </c>
      <c r="B65" s="17">
        <v>4.0</v>
      </c>
      <c r="C65" s="17">
        <v>0.0</v>
      </c>
      <c r="D65" s="17">
        <v>0.56</v>
      </c>
      <c r="E65" s="17">
        <v>0.52</v>
      </c>
      <c r="F65" s="17">
        <v>0.57</v>
      </c>
      <c r="G65" s="17">
        <v>10.9</v>
      </c>
      <c r="H65" s="17">
        <v>64.7</v>
      </c>
      <c r="I65" s="17">
        <v>1007.7</v>
      </c>
      <c r="J65" s="17">
        <v>0.0</v>
      </c>
      <c r="K65" s="17">
        <v>0.0</v>
      </c>
      <c r="M65" s="2">
        <v>43556.0</v>
      </c>
      <c r="N65" s="5">
        <f>SUM(C65:C67)</f>
        <v>4</v>
      </c>
    </row>
    <row r="66">
      <c r="A66" s="17">
        <v>2019.0</v>
      </c>
      <c r="B66" s="17">
        <v>5.0</v>
      </c>
      <c r="C66" s="17">
        <v>0.0</v>
      </c>
      <c r="D66" s="17">
        <v>0.78</v>
      </c>
      <c r="E66" s="17">
        <v>0.77</v>
      </c>
      <c r="F66" s="17">
        <v>0.7</v>
      </c>
      <c r="G66" s="17">
        <v>11.8</v>
      </c>
      <c r="H66" s="17">
        <v>63.5</v>
      </c>
      <c r="I66" s="17">
        <v>1006.8</v>
      </c>
      <c r="J66" s="17">
        <v>5.0</v>
      </c>
      <c r="K66" s="17">
        <v>0.0</v>
      </c>
      <c r="M66" s="2"/>
      <c r="N66" s="5"/>
    </row>
    <row r="67">
      <c r="A67" s="17">
        <v>2019.0</v>
      </c>
      <c r="B67" s="17">
        <v>6.0</v>
      </c>
      <c r="C67" s="17">
        <v>4.0</v>
      </c>
      <c r="D67" s="17">
        <v>0.63</v>
      </c>
      <c r="E67" s="17">
        <v>0.71</v>
      </c>
      <c r="F67" s="17">
        <v>0.66</v>
      </c>
      <c r="G67" s="17">
        <v>8.8</v>
      </c>
      <c r="H67" s="17">
        <v>72.9</v>
      </c>
      <c r="I67" s="17">
        <v>1006.4</v>
      </c>
      <c r="J67" s="17">
        <v>8.0</v>
      </c>
      <c r="K67" s="17">
        <v>0.0</v>
      </c>
      <c r="M67" s="2"/>
      <c r="N67" s="5"/>
    </row>
    <row r="68">
      <c r="A68" s="17">
        <v>2019.0</v>
      </c>
      <c r="B68" s="17">
        <v>7.0</v>
      </c>
      <c r="C68" s="17">
        <v>1.0</v>
      </c>
      <c r="D68" s="17">
        <v>0.7</v>
      </c>
      <c r="E68" s="17">
        <v>0.73</v>
      </c>
      <c r="F68" s="17">
        <v>-0.11</v>
      </c>
      <c r="G68" s="17">
        <v>8.6</v>
      </c>
      <c r="H68" s="17">
        <v>68.5</v>
      </c>
      <c r="I68" s="17">
        <v>1006.1</v>
      </c>
      <c r="J68" s="17">
        <v>8.0</v>
      </c>
      <c r="K68" s="17">
        <v>4.0</v>
      </c>
      <c r="M68" s="2">
        <v>43647.0</v>
      </c>
      <c r="N68" s="5">
        <f>SUM(C68:C70)</f>
        <v>3</v>
      </c>
    </row>
    <row r="69">
      <c r="A69" s="17">
        <v>2019.0</v>
      </c>
      <c r="B69" s="17">
        <v>8.0</v>
      </c>
      <c r="C69" s="17">
        <v>1.0</v>
      </c>
      <c r="D69" s="17">
        <v>0.64</v>
      </c>
      <c r="E69" s="17">
        <v>0.7</v>
      </c>
      <c r="F69" s="17">
        <v>-0.29</v>
      </c>
      <c r="G69" s="17">
        <v>7.9</v>
      </c>
      <c r="H69" s="17">
        <v>73.8</v>
      </c>
      <c r="I69" s="17">
        <v>1004.6</v>
      </c>
      <c r="J69" s="17">
        <v>3.0</v>
      </c>
      <c r="K69" s="17">
        <v>1.0</v>
      </c>
      <c r="M69" s="2"/>
      <c r="N69" s="5"/>
    </row>
    <row r="70">
      <c r="A70" s="17">
        <v>2019.0</v>
      </c>
      <c r="B70" s="17">
        <v>9.0</v>
      </c>
      <c r="C70" s="17">
        <v>1.0</v>
      </c>
      <c r="D70" s="17">
        <v>0.49</v>
      </c>
      <c r="E70" s="17">
        <v>0.48</v>
      </c>
      <c r="F70" s="17">
        <v>0.43</v>
      </c>
      <c r="G70" s="17">
        <v>8.5</v>
      </c>
      <c r="H70" s="17">
        <v>69.8</v>
      </c>
      <c r="I70" s="17">
        <v>1005.9</v>
      </c>
      <c r="J70" s="17">
        <v>2.0</v>
      </c>
      <c r="K70" s="17">
        <v>1.0</v>
      </c>
      <c r="M70" s="2"/>
      <c r="N70" s="5"/>
    </row>
    <row r="71">
      <c r="A71" s="17">
        <v>2019.0</v>
      </c>
      <c r="B71" s="17">
        <v>10.0</v>
      </c>
      <c r="C71" s="17">
        <v>3.0</v>
      </c>
      <c r="D71" s="17">
        <v>0.73</v>
      </c>
      <c r="E71" s="17">
        <v>0.79</v>
      </c>
      <c r="F71" s="17">
        <v>-0.34</v>
      </c>
      <c r="G71" s="17">
        <v>9.3</v>
      </c>
      <c r="H71" s="17">
        <v>69.4</v>
      </c>
      <c r="I71" s="17">
        <v>1004.1</v>
      </c>
      <c r="J71" s="17">
        <v>6.0</v>
      </c>
      <c r="K71" s="17">
        <v>1.0</v>
      </c>
      <c r="M71" s="2">
        <v>43739.0</v>
      </c>
      <c r="N71" s="5">
        <f>SUM(C71:C73)</f>
        <v>6</v>
      </c>
    </row>
    <row r="72">
      <c r="A72" s="17">
        <v>2019.0</v>
      </c>
      <c r="B72" s="17">
        <v>11.0</v>
      </c>
      <c r="C72" s="17">
        <v>3.0</v>
      </c>
      <c r="D72" s="17">
        <v>0.72</v>
      </c>
      <c r="E72" s="17">
        <v>0.77</v>
      </c>
      <c r="F72" s="17">
        <v>-0.45</v>
      </c>
      <c r="G72" s="17">
        <v>9.5</v>
      </c>
      <c r="H72" s="17">
        <v>66.8</v>
      </c>
      <c r="I72" s="17">
        <v>1008.0</v>
      </c>
      <c r="J72" s="17">
        <v>2.0</v>
      </c>
      <c r="K72" s="17">
        <v>3.0</v>
      </c>
      <c r="M72" s="2"/>
      <c r="N72" s="5"/>
    </row>
    <row r="73">
      <c r="A73" s="17">
        <v>2019.0</v>
      </c>
      <c r="B73" s="17">
        <v>12.0</v>
      </c>
      <c r="C73" s="17">
        <v>0.0</v>
      </c>
      <c r="D73" s="17">
        <v>0.66</v>
      </c>
      <c r="E73" s="17">
        <v>0.59</v>
      </c>
      <c r="F73" s="17">
        <v>-0.1</v>
      </c>
      <c r="G73" s="17">
        <v>11.6</v>
      </c>
      <c r="H73" s="17">
        <v>54.8</v>
      </c>
      <c r="I73" s="17">
        <v>1009.5</v>
      </c>
      <c r="J73" s="17">
        <v>0.0</v>
      </c>
      <c r="K73" s="17">
        <v>3.0</v>
      </c>
      <c r="M73" s="2"/>
      <c r="N73" s="5"/>
    </row>
    <row r="74">
      <c r="A74" s="17">
        <v>2020.0</v>
      </c>
      <c r="B74" s="17">
        <v>1.0</v>
      </c>
      <c r="C74" s="17">
        <v>0.0</v>
      </c>
      <c r="D74" s="17">
        <v>-0.98</v>
      </c>
      <c r="E74" s="17">
        <v>-0.98</v>
      </c>
      <c r="F74" s="17">
        <v>-0.12</v>
      </c>
      <c r="G74" s="17">
        <v>12.0</v>
      </c>
      <c r="H74" s="17">
        <v>58.5</v>
      </c>
      <c r="I74" s="17">
        <v>1008.4</v>
      </c>
      <c r="J74" s="17">
        <v>4.0</v>
      </c>
      <c r="K74" s="17">
        <v>0.0</v>
      </c>
      <c r="M74" s="2">
        <v>43831.0</v>
      </c>
      <c r="N74" s="5">
        <f>SUM(C74:C76)</f>
        <v>3</v>
      </c>
    </row>
    <row r="75">
      <c r="A75" s="17">
        <v>2020.0</v>
      </c>
      <c r="B75" s="17">
        <v>2.0</v>
      </c>
      <c r="C75" s="17">
        <v>3.0</v>
      </c>
      <c r="D75" s="17">
        <v>-1.07</v>
      </c>
      <c r="E75" s="17">
        <v>-1.1</v>
      </c>
      <c r="F75" s="17">
        <v>-0.16</v>
      </c>
      <c r="G75" s="17">
        <v>12.3</v>
      </c>
      <c r="H75" s="17">
        <v>51.1</v>
      </c>
      <c r="I75" s="17">
        <v>1010.9</v>
      </c>
      <c r="J75" s="17">
        <v>8.0</v>
      </c>
      <c r="K75" s="17">
        <v>0.0</v>
      </c>
      <c r="M75" s="2"/>
      <c r="N75" s="5"/>
    </row>
    <row r="76">
      <c r="A76" s="17">
        <v>2020.0</v>
      </c>
      <c r="B76" s="17">
        <v>3.0</v>
      </c>
      <c r="C76" s="17">
        <v>0.0</v>
      </c>
      <c r="D76" s="17">
        <v>-0.96</v>
      </c>
      <c r="E76" s="17">
        <v>-0.89</v>
      </c>
      <c r="F76" s="17">
        <v>0.5</v>
      </c>
      <c r="G76" s="17">
        <v>14.0</v>
      </c>
      <c r="H76" s="17">
        <v>51.7</v>
      </c>
      <c r="I76" s="17">
        <v>1010.3</v>
      </c>
      <c r="J76" s="17">
        <v>4.0</v>
      </c>
      <c r="K76" s="17">
        <v>3.0</v>
      </c>
      <c r="M76" s="2"/>
      <c r="N76" s="5"/>
    </row>
    <row r="77">
      <c r="A77" s="17">
        <v>2020.0</v>
      </c>
      <c r="B77" s="17">
        <v>4.0</v>
      </c>
      <c r="C77" s="17">
        <v>0.0</v>
      </c>
      <c r="D77" s="17">
        <v>-1.0</v>
      </c>
      <c r="E77" s="17">
        <v>-0.97</v>
      </c>
      <c r="F77" s="17">
        <v>0.62</v>
      </c>
      <c r="G77" s="17">
        <v>10.4</v>
      </c>
      <c r="H77" s="17">
        <v>57.9</v>
      </c>
      <c r="I77" s="17">
        <v>1007.4</v>
      </c>
      <c r="J77" s="17">
        <v>6.0</v>
      </c>
      <c r="K77" s="17">
        <v>0.0</v>
      </c>
      <c r="M77" s="2">
        <v>43922.0</v>
      </c>
      <c r="N77" s="5">
        <f>SUM(C77:C79)</f>
        <v>4</v>
      </c>
    </row>
    <row r="78">
      <c r="A78" s="17">
        <v>2020.0</v>
      </c>
      <c r="B78" s="17">
        <v>5.0</v>
      </c>
      <c r="C78" s="17">
        <v>1.0</v>
      </c>
      <c r="D78" s="17">
        <v>-0.99</v>
      </c>
      <c r="E78" s="17">
        <v>-0.97</v>
      </c>
      <c r="F78" s="17">
        <v>-0.12</v>
      </c>
      <c r="G78" s="17">
        <v>11.3</v>
      </c>
      <c r="H78" s="17">
        <v>54.6</v>
      </c>
      <c r="I78" s="17">
        <v>1008.6</v>
      </c>
      <c r="J78" s="17">
        <v>2.0</v>
      </c>
      <c r="K78" s="17">
        <v>0.0</v>
      </c>
      <c r="M78" s="2"/>
      <c r="N78" s="5"/>
    </row>
    <row r="79">
      <c r="A79" s="17">
        <v>2020.0</v>
      </c>
      <c r="B79" s="17">
        <v>6.0</v>
      </c>
      <c r="C79" s="17">
        <v>3.0</v>
      </c>
      <c r="D79" s="17">
        <v>-0.91</v>
      </c>
      <c r="E79" s="17">
        <v>-0.87</v>
      </c>
      <c r="F79" s="17">
        <v>0.21</v>
      </c>
      <c r="G79" s="17">
        <v>7.5</v>
      </c>
      <c r="H79" s="17">
        <v>67.8</v>
      </c>
      <c r="I79" s="17">
        <v>1003.4</v>
      </c>
      <c r="J79" s="17">
        <v>5.0</v>
      </c>
      <c r="K79" s="17">
        <v>1.0</v>
      </c>
      <c r="M79" s="2"/>
      <c r="N79" s="5"/>
    </row>
    <row r="80">
      <c r="A80" s="17">
        <v>2020.0</v>
      </c>
      <c r="B80" s="17">
        <v>7.0</v>
      </c>
      <c r="C80" s="17">
        <v>2.0</v>
      </c>
      <c r="D80" s="17">
        <v>-1.03</v>
      </c>
      <c r="E80" s="17">
        <v>-1.03</v>
      </c>
      <c r="F80" s="17">
        <v>0.52</v>
      </c>
      <c r="G80" s="17">
        <v>8.0</v>
      </c>
      <c r="H80" s="17">
        <v>72.4</v>
      </c>
      <c r="I80" s="17">
        <v>1006.2</v>
      </c>
      <c r="J80" s="17">
        <v>6.0</v>
      </c>
      <c r="K80" s="17">
        <v>3.0</v>
      </c>
      <c r="M80" s="2">
        <v>44013.0</v>
      </c>
      <c r="N80" s="5">
        <f>SUM(C80:C82)</f>
        <v>9</v>
      </c>
    </row>
    <row r="81">
      <c r="A81" s="17">
        <v>2020.0</v>
      </c>
      <c r="B81" s="17">
        <v>8.0</v>
      </c>
      <c r="C81" s="17">
        <v>4.0</v>
      </c>
      <c r="D81" s="17">
        <v>-1.09</v>
      </c>
      <c r="E81" s="17">
        <v>-1.19</v>
      </c>
      <c r="F81" s="17">
        <v>-0.36</v>
      </c>
      <c r="G81" s="17">
        <v>8.5</v>
      </c>
      <c r="H81" s="17">
        <v>68.9</v>
      </c>
      <c r="I81" s="17">
        <v>1006.2</v>
      </c>
      <c r="J81" s="17">
        <v>5.0</v>
      </c>
      <c r="K81" s="17">
        <v>2.0</v>
      </c>
      <c r="M81" s="2"/>
      <c r="N81" s="5"/>
    </row>
    <row r="82">
      <c r="A82" s="17">
        <v>2020.0</v>
      </c>
      <c r="B82" s="17">
        <v>9.0</v>
      </c>
      <c r="C82" s="17">
        <v>3.0</v>
      </c>
      <c r="D82" s="17">
        <v>-1.06</v>
      </c>
      <c r="E82" s="17">
        <v>-1.05</v>
      </c>
      <c r="F82" s="17">
        <v>0.37</v>
      </c>
      <c r="G82" s="17">
        <v>8.4</v>
      </c>
      <c r="H82" s="17">
        <v>69.5</v>
      </c>
      <c r="I82" s="17">
        <v>1005.3</v>
      </c>
      <c r="J82" s="17">
        <v>1.0</v>
      </c>
      <c r="K82" s="17">
        <v>4.0</v>
      </c>
      <c r="M82" s="2"/>
      <c r="N82" s="5"/>
    </row>
    <row r="83">
      <c r="A83" s="17">
        <v>2020.0</v>
      </c>
      <c r="B83" s="17">
        <v>10.0</v>
      </c>
      <c r="C83" s="17">
        <v>2.0</v>
      </c>
      <c r="D83" s="17">
        <v>-1.02</v>
      </c>
      <c r="E83" s="17">
        <v>-0.99</v>
      </c>
      <c r="F83" s="17">
        <v>0.25</v>
      </c>
      <c r="G83" s="17">
        <v>9.9</v>
      </c>
      <c r="H83" s="17">
        <v>61.6</v>
      </c>
      <c r="I83" s="17">
        <v>1006.4</v>
      </c>
      <c r="J83" s="17">
        <v>5.0</v>
      </c>
      <c r="K83" s="17">
        <v>3.0</v>
      </c>
      <c r="M83" s="2">
        <v>44105.0</v>
      </c>
      <c r="N83" s="5">
        <f>SUM(C83:C85)</f>
        <v>9</v>
      </c>
    </row>
    <row r="84">
      <c r="A84" s="17">
        <v>2020.0</v>
      </c>
      <c r="B84" s="17">
        <v>11.0</v>
      </c>
      <c r="C84" s="17">
        <v>3.0</v>
      </c>
      <c r="D84" s="17">
        <v>-1.22</v>
      </c>
      <c r="E84" s="17">
        <v>-1.27</v>
      </c>
      <c r="F84" s="17">
        <v>0.47</v>
      </c>
      <c r="G84" s="17">
        <v>10.0</v>
      </c>
      <c r="H84" s="17">
        <v>66.9</v>
      </c>
      <c r="I84" s="17">
        <v>1006.7</v>
      </c>
      <c r="J84" s="17">
        <v>5.0</v>
      </c>
      <c r="K84" s="17">
        <v>2.0</v>
      </c>
      <c r="M84" s="2"/>
      <c r="N84" s="5"/>
    </row>
    <row r="85">
      <c r="A85" s="17">
        <v>2020.0</v>
      </c>
      <c r="B85" s="17">
        <v>12.0</v>
      </c>
      <c r="C85" s="17">
        <v>4.0</v>
      </c>
      <c r="D85" s="17">
        <v>-0.84</v>
      </c>
      <c r="E85" s="17">
        <v>-0.83</v>
      </c>
      <c r="F85" s="17">
        <v>0.29</v>
      </c>
      <c r="G85" s="17">
        <v>11.8</v>
      </c>
      <c r="H85" s="17">
        <v>52.6</v>
      </c>
      <c r="I85" s="17">
        <v>1010.2</v>
      </c>
      <c r="J85" s="17">
        <v>8.0</v>
      </c>
      <c r="K85" s="17">
        <v>3.0</v>
      </c>
      <c r="M85" s="2"/>
      <c r="N85" s="5"/>
    </row>
    <row r="86">
      <c r="A86" s="17">
        <v>2021.0</v>
      </c>
      <c r="B86" s="17">
        <v>1.0</v>
      </c>
      <c r="C86" s="17">
        <v>0.0</v>
      </c>
      <c r="D86" s="17">
        <v>-0.67</v>
      </c>
      <c r="E86" s="17">
        <v>-0.74</v>
      </c>
      <c r="F86" s="17">
        <v>-0.1</v>
      </c>
      <c r="G86" s="17">
        <v>13.5</v>
      </c>
      <c r="H86" s="17">
        <v>52.5</v>
      </c>
      <c r="I86" s="17">
        <v>1010.6</v>
      </c>
      <c r="J86" s="17">
        <v>7.0</v>
      </c>
      <c r="K86" s="17">
        <v>4.0</v>
      </c>
      <c r="M86" s="2">
        <v>44197.0</v>
      </c>
      <c r="N86" s="5">
        <f>SUM(C86:C88)</f>
        <v>1</v>
      </c>
    </row>
    <row r="87">
      <c r="A87" s="17">
        <v>2021.0</v>
      </c>
      <c r="B87" s="17">
        <v>2.0</v>
      </c>
      <c r="C87" s="17">
        <v>1.0</v>
      </c>
      <c r="D87" s="17">
        <v>-0.7</v>
      </c>
      <c r="E87" s="17">
        <v>-0.72</v>
      </c>
      <c r="F87" s="17">
        <v>0.53</v>
      </c>
      <c r="G87" s="17">
        <v>13.5</v>
      </c>
      <c r="H87" s="17">
        <v>53.8</v>
      </c>
      <c r="I87" s="17">
        <v>1009.3</v>
      </c>
      <c r="J87" s="17">
        <v>8.0</v>
      </c>
      <c r="K87" s="17">
        <v>0.0</v>
      </c>
      <c r="M87" s="2"/>
      <c r="N87" s="5"/>
    </row>
    <row r="88">
      <c r="A88" s="17">
        <v>2021.0</v>
      </c>
      <c r="B88" s="17">
        <v>3.0</v>
      </c>
      <c r="C88" s="17">
        <v>0.0</v>
      </c>
      <c r="D88" s="17">
        <v>-0.91</v>
      </c>
      <c r="E88" s="17">
        <v>-0.94</v>
      </c>
      <c r="F88" s="17">
        <v>-0.28</v>
      </c>
      <c r="G88" s="17">
        <v>12.8</v>
      </c>
      <c r="H88" s="17">
        <v>58.2</v>
      </c>
      <c r="I88" s="17">
        <v>1009.4</v>
      </c>
      <c r="J88" s="17">
        <v>4.0</v>
      </c>
      <c r="K88" s="17">
        <v>1.0</v>
      </c>
      <c r="M88" s="2"/>
      <c r="N88" s="5"/>
    </row>
    <row r="89">
      <c r="A89" s="17">
        <v>2021.0</v>
      </c>
      <c r="B89" s="17">
        <v>4.0</v>
      </c>
      <c r="C89" s="17">
        <v>0.0</v>
      </c>
      <c r="D89" s="17">
        <v>-0.89</v>
      </c>
      <c r="E89" s="17">
        <v>-0.87</v>
      </c>
      <c r="F89" s="17">
        <v>0.23</v>
      </c>
      <c r="G89" s="17">
        <v>10.7</v>
      </c>
      <c r="H89" s="17">
        <v>56.7</v>
      </c>
      <c r="I89" s="17">
        <v>1007.7</v>
      </c>
      <c r="J89" s="17">
        <v>4.0</v>
      </c>
      <c r="K89" s="17">
        <v>0.0</v>
      </c>
      <c r="M89" s="2">
        <v>44287.0</v>
      </c>
      <c r="N89" s="5">
        <f>SUM(C89:C91)</f>
        <v>1</v>
      </c>
    </row>
    <row r="90">
      <c r="A90" s="17">
        <v>2021.0</v>
      </c>
      <c r="B90" s="17">
        <v>5.0</v>
      </c>
      <c r="C90" s="17">
        <v>0.0</v>
      </c>
      <c r="D90" s="17">
        <v>-1.0</v>
      </c>
      <c r="E90" s="17">
        <v>-0.99</v>
      </c>
      <c r="F90" s="17">
        <v>0.36</v>
      </c>
      <c r="G90" s="17">
        <v>10.6</v>
      </c>
      <c r="H90" s="17">
        <v>56.5</v>
      </c>
      <c r="I90" s="17">
        <v>1008.5</v>
      </c>
      <c r="J90" s="17">
        <v>0.0</v>
      </c>
      <c r="K90" s="17">
        <v>0.0</v>
      </c>
      <c r="M90" s="2"/>
      <c r="N90" s="5"/>
    </row>
    <row r="91">
      <c r="A91" s="17">
        <v>2021.0</v>
      </c>
      <c r="B91" s="17">
        <v>6.0</v>
      </c>
      <c r="C91" s="17">
        <v>1.0</v>
      </c>
      <c r="D91" s="17">
        <v>-0.87</v>
      </c>
      <c r="E91" s="17">
        <v>-0.93</v>
      </c>
      <c r="F91" s="17">
        <v>-0.13</v>
      </c>
      <c r="G91" s="17">
        <v>7.7</v>
      </c>
      <c r="H91" s="17">
        <v>71.5</v>
      </c>
      <c r="I91" s="17">
        <v>1005.2</v>
      </c>
      <c r="J91" s="17">
        <v>8.0</v>
      </c>
      <c r="K91" s="17">
        <v>0.0</v>
      </c>
      <c r="M91" s="2"/>
      <c r="N91" s="5"/>
    </row>
    <row r="92">
      <c r="A92" s="17">
        <v>2021.0</v>
      </c>
      <c r="B92" s="17">
        <v>7.0</v>
      </c>
      <c r="C92" s="17">
        <v>0.0</v>
      </c>
      <c r="D92" s="17">
        <v>-0.81</v>
      </c>
      <c r="E92" s="17">
        <v>-0.81</v>
      </c>
      <c r="F92" s="17">
        <v>0.49</v>
      </c>
      <c r="G92" s="17">
        <v>7.8</v>
      </c>
      <c r="H92" s="17">
        <v>69.9</v>
      </c>
      <c r="I92" s="17">
        <v>1005.4</v>
      </c>
      <c r="J92" s="17">
        <v>3.0</v>
      </c>
      <c r="K92" s="17">
        <v>1.0</v>
      </c>
      <c r="M92" s="2">
        <v>44378.0</v>
      </c>
      <c r="N92" s="5">
        <f>SUM(C92:C94)</f>
        <v>5</v>
      </c>
    </row>
    <row r="93">
      <c r="A93" s="17">
        <v>2021.0</v>
      </c>
      <c r="B93" s="17">
        <v>8.0</v>
      </c>
      <c r="C93" s="17">
        <v>3.0</v>
      </c>
      <c r="D93" s="17">
        <v>-0.87</v>
      </c>
      <c r="E93" s="17">
        <v>-0.9</v>
      </c>
      <c r="F93" s="17">
        <v>0.13</v>
      </c>
      <c r="G93" s="17">
        <v>8.8</v>
      </c>
      <c r="H93" s="17">
        <v>69.8</v>
      </c>
      <c r="I93" s="17">
        <v>1005.5</v>
      </c>
      <c r="J93" s="17">
        <v>4.0</v>
      </c>
      <c r="K93" s="17">
        <v>0.0</v>
      </c>
      <c r="M93" s="2"/>
      <c r="N93" s="5"/>
    </row>
    <row r="94">
      <c r="A94" s="17">
        <v>2021.0</v>
      </c>
      <c r="B94" s="17">
        <v>9.0</v>
      </c>
      <c r="C94" s="17">
        <v>2.0</v>
      </c>
      <c r="D94" s="17">
        <v>-0.88</v>
      </c>
      <c r="E94" s="17">
        <v>-0.94</v>
      </c>
      <c r="F94" s="17">
        <v>-0.09</v>
      </c>
      <c r="G94" s="17">
        <v>7.8</v>
      </c>
      <c r="H94" s="17">
        <v>74.4</v>
      </c>
      <c r="I94" s="17">
        <v>1004.4</v>
      </c>
      <c r="J94" s="17">
        <v>4.0</v>
      </c>
      <c r="K94" s="17">
        <v>3.0</v>
      </c>
      <c r="M94" s="2"/>
      <c r="N94" s="5"/>
    </row>
    <row r="95">
      <c r="A95" s="17">
        <v>2021.0</v>
      </c>
      <c r="B95" s="17">
        <v>10.0</v>
      </c>
      <c r="C95" s="17">
        <v>3.0</v>
      </c>
      <c r="D95" s="17">
        <v>-1.07</v>
      </c>
      <c r="E95" s="17">
        <v>-0.96</v>
      </c>
      <c r="F95" s="17">
        <v>0.63</v>
      </c>
      <c r="G95" s="17">
        <v>9.0</v>
      </c>
      <c r="H95" s="17">
        <v>65.2</v>
      </c>
      <c r="I95" s="17">
        <v>1006.2</v>
      </c>
      <c r="J95" s="17">
        <v>1.0</v>
      </c>
      <c r="K95" s="17">
        <v>2.0</v>
      </c>
      <c r="M95" s="2">
        <v>44470.0</v>
      </c>
      <c r="N95" s="5">
        <f>SUM(C95:C97)</f>
        <v>7</v>
      </c>
    </row>
    <row r="96">
      <c r="A96" s="17">
        <v>2021.0</v>
      </c>
      <c r="B96" s="17">
        <v>11.0</v>
      </c>
      <c r="C96" s="17">
        <v>1.0</v>
      </c>
      <c r="D96" s="17">
        <v>-0.92</v>
      </c>
      <c r="E96" s="17">
        <v>-0.86</v>
      </c>
      <c r="F96" s="17">
        <v>0.35</v>
      </c>
      <c r="G96" s="17">
        <v>9.3</v>
      </c>
      <c r="H96" s="17">
        <v>62.5</v>
      </c>
      <c r="I96" s="17">
        <v>1006.5</v>
      </c>
      <c r="J96" s="17">
        <v>3.0</v>
      </c>
      <c r="K96" s="17">
        <v>3.0</v>
      </c>
      <c r="M96" s="2"/>
      <c r="N96" s="5"/>
    </row>
    <row r="97">
      <c r="A97" s="17">
        <v>2021.0</v>
      </c>
      <c r="B97" s="17">
        <v>12.0</v>
      </c>
      <c r="C97" s="17">
        <v>3.0</v>
      </c>
      <c r="D97" s="17">
        <v>-0.75</v>
      </c>
      <c r="E97" s="17">
        <v>-0.64</v>
      </c>
      <c r="F97" s="17">
        <v>0.29</v>
      </c>
      <c r="G97" s="17">
        <v>12.4</v>
      </c>
      <c r="H97" s="17">
        <v>54.4</v>
      </c>
      <c r="I97" s="17">
        <v>1010.0</v>
      </c>
      <c r="J97" s="17">
        <v>6.0</v>
      </c>
      <c r="K97" s="17">
        <v>1.0</v>
      </c>
      <c r="M97" s="2"/>
      <c r="N97" s="5"/>
    </row>
    <row r="98">
      <c r="A98" s="17">
        <v>2022.0</v>
      </c>
      <c r="B98" s="17">
        <v>1.0</v>
      </c>
      <c r="C98" s="17">
        <v>0.0</v>
      </c>
      <c r="D98" s="17">
        <v>-0.93</v>
      </c>
      <c r="E98" s="17">
        <v>-0.95</v>
      </c>
      <c r="F98" s="17">
        <v>-0.37</v>
      </c>
      <c r="G98" s="17">
        <v>12.3</v>
      </c>
      <c r="H98" s="17">
        <v>58.8</v>
      </c>
      <c r="I98" s="17">
        <v>1010.4</v>
      </c>
      <c r="J98" s="17">
        <v>2.0</v>
      </c>
      <c r="K98" s="17">
        <v>3.0</v>
      </c>
      <c r="M98" s="2">
        <v>44562.0</v>
      </c>
      <c r="N98" s="5">
        <f>SUM(C98:C100)</f>
        <v>0</v>
      </c>
    </row>
    <row r="99">
      <c r="A99" s="17">
        <v>2022.0</v>
      </c>
      <c r="B99" s="17">
        <v>2.0</v>
      </c>
      <c r="C99" s="17">
        <v>0.0</v>
      </c>
      <c r="D99" s="17">
        <v>-1.25</v>
      </c>
      <c r="E99" s="17">
        <v>-1.29</v>
      </c>
      <c r="F99" s="17">
        <v>-0.26</v>
      </c>
      <c r="G99" s="17">
        <v>12.3</v>
      </c>
      <c r="H99" s="17">
        <v>57.7</v>
      </c>
      <c r="I99" s="17">
        <v>1010.2</v>
      </c>
      <c r="J99" s="17">
        <v>1.0</v>
      </c>
      <c r="K99" s="17">
        <v>0.0</v>
      </c>
      <c r="M99" s="2"/>
      <c r="N99" s="5"/>
    </row>
    <row r="100">
      <c r="A100" s="17">
        <v>2022.0</v>
      </c>
      <c r="B100" s="17">
        <v>3.0</v>
      </c>
      <c r="C100" s="17">
        <v>0.0</v>
      </c>
      <c r="D100" s="17">
        <v>-1.09</v>
      </c>
      <c r="E100" s="17">
        <v>-1.1</v>
      </c>
      <c r="F100" s="17">
        <v>-0.08</v>
      </c>
      <c r="G100" s="17">
        <v>13.0</v>
      </c>
      <c r="H100" s="17">
        <v>52.8</v>
      </c>
      <c r="I100" s="17">
        <v>1009.6</v>
      </c>
      <c r="J100" s="17">
        <v>6.0</v>
      </c>
      <c r="K100" s="17">
        <v>0.0</v>
      </c>
      <c r="M100" s="2"/>
      <c r="N100" s="5"/>
    </row>
    <row r="101">
      <c r="A101" s="17">
        <v>2022.0</v>
      </c>
      <c r="B101" s="17">
        <v>4.0</v>
      </c>
      <c r="C101" s="17">
        <v>1.0</v>
      </c>
      <c r="D101" s="17">
        <v>-1.3</v>
      </c>
      <c r="E101" s="17">
        <v>-1.29</v>
      </c>
      <c r="F101" s="17">
        <v>0.31</v>
      </c>
      <c r="G101" s="17">
        <v>10.4</v>
      </c>
      <c r="H101" s="17">
        <v>63.2</v>
      </c>
      <c r="I101" s="17">
        <v>1007.0</v>
      </c>
      <c r="J101" s="17">
        <v>6.0</v>
      </c>
      <c r="K101" s="17">
        <v>0.0</v>
      </c>
      <c r="M101" s="2">
        <v>44652.0</v>
      </c>
      <c r="N101" s="5">
        <f>SUM(C101:C103)</f>
        <v>3</v>
      </c>
    </row>
    <row r="102">
      <c r="A102" s="17">
        <v>2022.0</v>
      </c>
      <c r="B102" s="17">
        <v>5.0</v>
      </c>
      <c r="C102" s="17">
        <v>1.0</v>
      </c>
      <c r="D102" s="17">
        <v>-1.15</v>
      </c>
      <c r="E102" s="17">
        <v>-1.19</v>
      </c>
      <c r="F102" s="17">
        <v>-0.5</v>
      </c>
      <c r="G102" s="17">
        <v>10.8</v>
      </c>
      <c r="H102" s="17">
        <v>63.2</v>
      </c>
      <c r="I102" s="17">
        <v>1007.7</v>
      </c>
      <c r="J102" s="17">
        <v>5.0</v>
      </c>
      <c r="K102" s="17">
        <v>1.0</v>
      </c>
      <c r="M102" s="2"/>
      <c r="N102" s="5"/>
    </row>
    <row r="103">
      <c r="A103" s="17">
        <v>2022.0</v>
      </c>
      <c r="B103" s="17">
        <v>6.0</v>
      </c>
      <c r="C103" s="17">
        <v>1.0</v>
      </c>
      <c r="D103" s="17">
        <v>-1.32</v>
      </c>
      <c r="E103" s="17">
        <v>-1.47</v>
      </c>
      <c r="F103" s="17">
        <v>-0.03</v>
      </c>
      <c r="G103" s="17">
        <v>8.5</v>
      </c>
      <c r="H103" s="17">
        <v>75.7</v>
      </c>
      <c r="I103" s="17">
        <v>1004.5</v>
      </c>
      <c r="J103" s="17">
        <v>6.0</v>
      </c>
      <c r="K103" s="17">
        <v>1.0</v>
      </c>
      <c r="M103" s="2"/>
      <c r="N103" s="5"/>
    </row>
    <row r="104">
      <c r="A104" s="17">
        <v>2022.0</v>
      </c>
      <c r="B104" s="17">
        <v>7.0</v>
      </c>
      <c r="C104" s="17">
        <v>5.0</v>
      </c>
      <c r="D104" s="17">
        <v>-1.1</v>
      </c>
      <c r="E104" s="17">
        <v>-1.11</v>
      </c>
      <c r="F104" s="17">
        <v>0.13</v>
      </c>
      <c r="G104" s="17">
        <v>7.6</v>
      </c>
      <c r="H104" s="17">
        <v>75.1</v>
      </c>
      <c r="I104" s="17">
        <v>1005.7</v>
      </c>
      <c r="J104" s="17">
        <v>2.0</v>
      </c>
      <c r="K104" s="17">
        <v>1.0</v>
      </c>
      <c r="M104" s="2">
        <v>44743.0</v>
      </c>
      <c r="N104" s="5">
        <f>SUM(C104:C106)</f>
        <v>8</v>
      </c>
    </row>
    <row r="105">
      <c r="A105" s="17">
        <v>2022.0</v>
      </c>
      <c r="B105" s="17">
        <v>8.0</v>
      </c>
      <c r="C105" s="17">
        <v>1.0</v>
      </c>
      <c r="D105" s="17">
        <v>-1.25</v>
      </c>
      <c r="E105" s="17">
        <v>-1.27</v>
      </c>
      <c r="F105" s="17">
        <v>0.13</v>
      </c>
      <c r="G105" s="17">
        <v>8.1</v>
      </c>
      <c r="H105" s="17">
        <v>67.6</v>
      </c>
      <c r="I105" s="17">
        <v>1004.5</v>
      </c>
      <c r="J105" s="17">
        <v>5.0</v>
      </c>
      <c r="K105" s="17">
        <v>5.0</v>
      </c>
      <c r="M105" s="2"/>
      <c r="N105" s="5"/>
    </row>
    <row r="106">
      <c r="A106" s="17">
        <v>2022.0</v>
      </c>
      <c r="B106" s="17">
        <v>9.0</v>
      </c>
      <c r="C106" s="17">
        <v>2.0</v>
      </c>
      <c r="D106" s="17">
        <v>-1.17</v>
      </c>
      <c r="E106" s="17">
        <v>-1.14</v>
      </c>
      <c r="F106" s="17">
        <v>0.22</v>
      </c>
      <c r="G106" s="17">
        <v>7.5</v>
      </c>
      <c r="H106" s="17">
        <v>73.0</v>
      </c>
      <c r="I106" s="17">
        <v>1003.6</v>
      </c>
      <c r="J106" s="17">
        <v>2.0</v>
      </c>
      <c r="K106" s="17">
        <v>1.0</v>
      </c>
      <c r="M106" s="2"/>
      <c r="N106" s="5"/>
    </row>
    <row r="107">
      <c r="A107" s="17">
        <v>2022.0</v>
      </c>
      <c r="B107" s="17">
        <v>10.0</v>
      </c>
      <c r="C107" s="17">
        <v>1.0</v>
      </c>
      <c r="D107" s="17">
        <v>-1.28</v>
      </c>
      <c r="E107" s="17">
        <v>-1.26</v>
      </c>
      <c r="F107" s="17">
        <v>0.17</v>
      </c>
      <c r="G107" s="17">
        <v>9.3</v>
      </c>
      <c r="H107" s="17">
        <v>64.0</v>
      </c>
      <c r="I107" s="17">
        <v>1004.1</v>
      </c>
      <c r="J107" s="17">
        <v>4.0</v>
      </c>
      <c r="K107" s="17">
        <v>2.0</v>
      </c>
      <c r="M107" s="2">
        <v>44835.0</v>
      </c>
      <c r="N107" s="5">
        <f>SUM(C107:C109)</f>
        <v>2</v>
      </c>
    </row>
    <row r="108">
      <c r="A108" s="17">
        <v>2022.0</v>
      </c>
      <c r="B108" s="17">
        <v>11.0</v>
      </c>
      <c r="C108" s="17">
        <v>1.0</v>
      </c>
      <c r="D108" s="17">
        <v>-1.04</v>
      </c>
      <c r="E108" s="17">
        <v>-1.01</v>
      </c>
      <c r="F108" s="17">
        <v>0.36</v>
      </c>
      <c r="G108" s="17">
        <v>9.8</v>
      </c>
      <c r="H108" s="17">
        <v>62.1</v>
      </c>
      <c r="I108" s="17">
        <v>1006.7</v>
      </c>
      <c r="J108" s="17">
        <v>7.0</v>
      </c>
      <c r="K108" s="17">
        <v>1.0</v>
      </c>
      <c r="M108" s="2"/>
      <c r="N108" s="5"/>
    </row>
    <row r="109">
      <c r="A109" s="17">
        <v>2022.0</v>
      </c>
      <c r="B109" s="17">
        <v>12.0</v>
      </c>
      <c r="C109" s="17">
        <v>0.0</v>
      </c>
      <c r="D109" s="17">
        <v>-1.38</v>
      </c>
      <c r="E109" s="17">
        <v>-1.37</v>
      </c>
      <c r="F109" s="17">
        <v>0.06</v>
      </c>
      <c r="G109" s="17">
        <v>12.7</v>
      </c>
      <c r="H109" s="17">
        <v>57.3</v>
      </c>
      <c r="I109" s="17">
        <v>1010.3</v>
      </c>
      <c r="J109" s="17">
        <v>1.0</v>
      </c>
      <c r="K109" s="17">
        <v>1.0</v>
      </c>
      <c r="M109" s="2"/>
      <c r="N109" s="5"/>
    </row>
    <row r="110">
      <c r="A110" s="17">
        <v>2023.0</v>
      </c>
      <c r="B110" s="17">
        <v>1.0</v>
      </c>
      <c r="C110" s="17">
        <v>2.0</v>
      </c>
      <c r="D110" s="17">
        <v>0.05</v>
      </c>
      <c r="E110" s="17">
        <v>0.06</v>
      </c>
      <c r="F110" s="17">
        <v>-0.48</v>
      </c>
      <c r="G110" s="17">
        <v>13.1</v>
      </c>
      <c r="H110" s="17">
        <v>57.2</v>
      </c>
      <c r="I110" s="17">
        <v>1009.8</v>
      </c>
      <c r="J110" s="17">
        <v>5.0</v>
      </c>
      <c r="K110" s="17">
        <v>0.0</v>
      </c>
      <c r="M110" s="2">
        <v>44927.0</v>
      </c>
      <c r="N110" s="5">
        <f>SUM(C110:C112)</f>
        <v>2</v>
      </c>
    </row>
    <row r="111">
      <c r="A111" s="17">
        <v>2023.0</v>
      </c>
      <c r="B111" s="17">
        <v>2.0</v>
      </c>
      <c r="C111" s="17">
        <v>0.0</v>
      </c>
      <c r="D111" s="17">
        <v>0.02</v>
      </c>
      <c r="E111" s="17">
        <v>-0.03</v>
      </c>
      <c r="F111" s="17">
        <v>0.32</v>
      </c>
      <c r="G111" s="17">
        <v>12.7</v>
      </c>
      <c r="H111" s="17">
        <v>62.0</v>
      </c>
      <c r="I111" s="17">
        <v>1008.3</v>
      </c>
      <c r="J111" s="17">
        <v>6.0</v>
      </c>
      <c r="K111" s="17">
        <v>2.0</v>
      </c>
      <c r="M111" s="2"/>
      <c r="N111" s="5"/>
    </row>
    <row r="112">
      <c r="A112" s="17">
        <v>2023.0</v>
      </c>
      <c r="B112" s="17">
        <v>3.0</v>
      </c>
      <c r="C112" s="17">
        <v>0.0</v>
      </c>
      <c r="D112" s="17">
        <v>-0.1</v>
      </c>
      <c r="E112" s="17">
        <v>-0.04</v>
      </c>
      <c r="F112" s="17">
        <v>-0.44</v>
      </c>
      <c r="G112" s="17">
        <v>12.9</v>
      </c>
      <c r="H112" s="17">
        <v>48.2</v>
      </c>
      <c r="I112" s="17">
        <v>1009.5</v>
      </c>
      <c r="J112" s="17">
        <v>8.0</v>
      </c>
      <c r="K112" s="17">
        <v>0.0</v>
      </c>
      <c r="M112" s="2"/>
      <c r="N112" s="5"/>
    </row>
    <row r="113">
      <c r="A113" s="17">
        <v>2023.0</v>
      </c>
      <c r="B113" s="17">
        <v>4.0</v>
      </c>
      <c r="C113" s="17">
        <v>0.0</v>
      </c>
      <c r="D113" s="17">
        <v>0.03</v>
      </c>
      <c r="E113" s="17">
        <v>0.03</v>
      </c>
      <c r="F113" s="17">
        <v>0.06</v>
      </c>
      <c r="G113" s="17">
        <v>10.3</v>
      </c>
      <c r="H113" s="17">
        <v>55.8</v>
      </c>
      <c r="I113" s="17">
        <v>1008.4</v>
      </c>
      <c r="J113" s="17">
        <v>1.0</v>
      </c>
      <c r="K113" s="17">
        <v>0.0</v>
      </c>
      <c r="M113" s="2">
        <v>45017.0</v>
      </c>
      <c r="N113" s="5">
        <f>SUM(C113:C115)</f>
        <v>0</v>
      </c>
    </row>
    <row r="114">
      <c r="A114" s="17">
        <v>2023.0</v>
      </c>
      <c r="B114" s="17">
        <v>5.0</v>
      </c>
      <c r="C114" s="17">
        <v>0.0</v>
      </c>
      <c r="D114" s="17">
        <v>0.07</v>
      </c>
      <c r="E114" s="17">
        <v>0.05</v>
      </c>
      <c r="F114" s="17">
        <v>-0.03</v>
      </c>
      <c r="G114" s="17">
        <v>10.9</v>
      </c>
      <c r="H114" s="17">
        <v>57.3</v>
      </c>
      <c r="I114" s="17">
        <v>1007.0</v>
      </c>
      <c r="J114" s="17">
        <v>2.0</v>
      </c>
      <c r="K114" s="17">
        <v>0.0</v>
      </c>
      <c r="M114" s="2"/>
      <c r="N114" s="5"/>
    </row>
    <row r="115">
      <c r="A115" s="17">
        <v>2023.0</v>
      </c>
      <c r="B115" s="17">
        <v>6.0</v>
      </c>
      <c r="C115" s="17">
        <v>0.0</v>
      </c>
      <c r="D115" s="17">
        <v>0.09</v>
      </c>
      <c r="E115" s="17">
        <v>0.05</v>
      </c>
      <c r="F115" s="17">
        <v>0.54</v>
      </c>
      <c r="G115" s="17">
        <v>8.7</v>
      </c>
      <c r="H115" s="17">
        <v>70.1</v>
      </c>
      <c r="I115" s="17">
        <v>1006.1</v>
      </c>
      <c r="J115" s="17">
        <v>1.0</v>
      </c>
      <c r="K115" s="17">
        <v>0.0</v>
      </c>
      <c r="M115" s="2"/>
      <c r="N115" s="5"/>
    </row>
    <row r="116">
      <c r="A116" s="17">
        <v>2023.0</v>
      </c>
      <c r="B116" s="17">
        <v>7.0</v>
      </c>
      <c r="C116" s="17">
        <v>1.0</v>
      </c>
      <c r="D116" s="17">
        <v>0.12</v>
      </c>
      <c r="E116" s="17">
        <v>0.05</v>
      </c>
      <c r="F116" s="17">
        <v>0.39</v>
      </c>
      <c r="G116" s="17">
        <v>8.0</v>
      </c>
      <c r="H116" s="17">
        <v>71.7</v>
      </c>
      <c r="I116" s="17">
        <v>1004.4</v>
      </c>
      <c r="J116" s="17">
        <v>2.0</v>
      </c>
      <c r="K116" s="17">
        <v>0.0</v>
      </c>
      <c r="M116" s="2">
        <v>45108.0</v>
      </c>
      <c r="N116" s="5">
        <f>SUM(C116:C118)</f>
        <v>8</v>
      </c>
    </row>
    <row r="117">
      <c r="A117" s="17">
        <v>2023.0</v>
      </c>
      <c r="B117" s="17">
        <v>8.0</v>
      </c>
      <c r="C117" s="17">
        <v>2.0</v>
      </c>
      <c r="D117" s="17">
        <v>-0.04</v>
      </c>
      <c r="E117" s="17">
        <v>-0.01</v>
      </c>
      <c r="F117" s="17">
        <v>0.53</v>
      </c>
      <c r="G117" s="17">
        <v>8.3</v>
      </c>
      <c r="H117" s="17">
        <v>69.5</v>
      </c>
      <c r="I117" s="17">
        <v>1003.1</v>
      </c>
      <c r="J117" s="17">
        <v>2.0</v>
      </c>
      <c r="K117" s="17">
        <v>1.0</v>
      </c>
      <c r="M117" s="2"/>
      <c r="N117" s="5"/>
    </row>
    <row r="118">
      <c r="A118" s="17">
        <v>2023.0</v>
      </c>
      <c r="B118" s="17">
        <v>9.0</v>
      </c>
      <c r="C118" s="17">
        <v>5.0</v>
      </c>
      <c r="D118" s="17">
        <v>0.01</v>
      </c>
      <c r="E118" s="17">
        <v>0.05</v>
      </c>
      <c r="F118" s="17">
        <v>0.27</v>
      </c>
      <c r="G118" s="17">
        <v>8.1</v>
      </c>
      <c r="H118" s="17">
        <v>65.2</v>
      </c>
      <c r="I118" s="17">
        <v>1004.3</v>
      </c>
      <c r="J118" s="17">
        <v>4.0</v>
      </c>
      <c r="K118" s="17">
        <v>2.0</v>
      </c>
      <c r="M118" s="2"/>
      <c r="N118" s="5"/>
    </row>
    <row r="119">
      <c r="A119" s="17">
        <v>2023.0</v>
      </c>
      <c r="B119" s="17">
        <v>10.0</v>
      </c>
      <c r="C119" s="17">
        <v>2.0</v>
      </c>
      <c r="D119" s="17">
        <v>0.17</v>
      </c>
      <c r="E119" s="17">
        <v>0.2</v>
      </c>
      <c r="F119" s="17">
        <v>-0.11</v>
      </c>
      <c r="G119" s="17">
        <v>9.3</v>
      </c>
      <c r="H119" s="17">
        <v>60.9</v>
      </c>
      <c r="I119" s="17">
        <v>1005.1</v>
      </c>
      <c r="J119" s="17">
        <v>3.0</v>
      </c>
      <c r="K119" s="17">
        <v>5.0</v>
      </c>
      <c r="M119" s="2">
        <v>45200.0</v>
      </c>
      <c r="N119" s="5">
        <f>SUM(C119:C121)</f>
        <v>5</v>
      </c>
    </row>
    <row r="120">
      <c r="A120" s="17">
        <v>2023.0</v>
      </c>
      <c r="B120" s="17">
        <v>11.0</v>
      </c>
      <c r="C120" s="17">
        <v>2.0</v>
      </c>
      <c r="D120" s="17">
        <v>0.0</v>
      </c>
      <c r="E120" s="17">
        <v>-0.16</v>
      </c>
      <c r="F120" s="17">
        <v>-0.36</v>
      </c>
      <c r="G120" s="17">
        <v>10.0</v>
      </c>
      <c r="H120" s="17">
        <v>67.5</v>
      </c>
      <c r="I120" s="17">
        <v>1007.5</v>
      </c>
      <c r="J120" s="17">
        <v>5.0</v>
      </c>
      <c r="K120" s="17">
        <v>2.0</v>
      </c>
      <c r="M120" s="2"/>
      <c r="N120" s="5"/>
    </row>
    <row r="121">
      <c r="A121" s="17">
        <v>2023.0</v>
      </c>
      <c r="B121" s="17">
        <v>12.0</v>
      </c>
      <c r="C121" s="17">
        <v>1.0</v>
      </c>
      <c r="D121" s="17">
        <v>0.03</v>
      </c>
      <c r="E121" s="17">
        <v>0.05</v>
      </c>
      <c r="F121" s="17">
        <v>0.0</v>
      </c>
      <c r="G121" s="17">
        <v>12.7</v>
      </c>
      <c r="H121" s="17">
        <v>51.9</v>
      </c>
      <c r="I121" s="17">
        <v>1010.2</v>
      </c>
      <c r="J121" s="17">
        <v>8.0</v>
      </c>
      <c r="K121" s="17">
        <v>2.0</v>
      </c>
      <c r="M121" s="2"/>
      <c r="N121" s="5"/>
    </row>
    <row r="122">
      <c r="A122" s="17">
        <v>2024.0</v>
      </c>
      <c r="B122" s="17">
        <v>1.0</v>
      </c>
      <c r="C122" s="17">
        <v>0.0</v>
      </c>
      <c r="D122" s="17">
        <v>0.94</v>
      </c>
      <c r="E122" s="17">
        <v>0.97</v>
      </c>
      <c r="F122" s="17">
        <v>0.16</v>
      </c>
      <c r="G122" s="17">
        <v>12.7</v>
      </c>
      <c r="H122" s="17">
        <v>55.8</v>
      </c>
      <c r="I122" s="17">
        <v>1010.7</v>
      </c>
      <c r="J122" s="17">
        <v>7.0</v>
      </c>
      <c r="K122" s="17">
        <v>1.0</v>
      </c>
      <c r="M122" s="2">
        <v>45292.0</v>
      </c>
      <c r="N122" s="5">
        <f>SUM(C122:C124)</f>
        <v>2</v>
      </c>
    </row>
    <row r="123">
      <c r="A123" s="17">
        <v>2024.0</v>
      </c>
      <c r="B123" s="17">
        <v>2.0</v>
      </c>
      <c r="C123" s="17">
        <v>1.0</v>
      </c>
      <c r="D123" s="17">
        <v>0.96</v>
      </c>
      <c r="E123" s="17">
        <v>0.94</v>
      </c>
      <c r="F123" s="17">
        <v>0.15</v>
      </c>
      <c r="G123" s="17">
        <v>12.1</v>
      </c>
      <c r="H123" s="17">
        <v>54.8</v>
      </c>
      <c r="I123" s="17">
        <v>1009.0</v>
      </c>
      <c r="J123" s="17">
        <v>6.0</v>
      </c>
      <c r="K123" s="17">
        <v>0.0</v>
      </c>
      <c r="M123" s="2"/>
      <c r="N123" s="5"/>
    </row>
    <row r="124">
      <c r="A124" s="17">
        <v>2024.0</v>
      </c>
      <c r="B124" s="17">
        <v>3.0</v>
      </c>
      <c r="C124" s="17">
        <v>1.0</v>
      </c>
      <c r="D124" s="17">
        <v>0.87</v>
      </c>
      <c r="E124" s="17">
        <v>0.77</v>
      </c>
      <c r="F124" s="17">
        <v>0.53</v>
      </c>
      <c r="G124" s="17">
        <v>12.6</v>
      </c>
      <c r="H124" s="17">
        <v>51.8</v>
      </c>
      <c r="I124" s="17">
        <v>1009.4</v>
      </c>
      <c r="J124" s="17">
        <v>0.0</v>
      </c>
      <c r="K124" s="17">
        <v>1.0</v>
      </c>
      <c r="M124" s="2"/>
      <c r="N124" s="5"/>
    </row>
    <row r="125">
      <c r="A125" s="17">
        <v>2024.0</v>
      </c>
      <c r="B125" s="17">
        <v>4.0</v>
      </c>
      <c r="C125" s="17">
        <v>0.0</v>
      </c>
      <c r="D125" s="17">
        <v>1.06</v>
      </c>
      <c r="E125" s="17">
        <v>1.05</v>
      </c>
      <c r="F125" s="17">
        <v>-0.15</v>
      </c>
      <c r="G125" s="17">
        <v>10.3</v>
      </c>
      <c r="H125" s="17">
        <v>63.2</v>
      </c>
      <c r="I125" s="17">
        <v>1007.7</v>
      </c>
      <c r="J125" s="17">
        <v>2.0</v>
      </c>
      <c r="K125" s="17">
        <v>1.0</v>
      </c>
      <c r="M125" s="2">
        <v>45383.0</v>
      </c>
      <c r="N125" s="5">
        <f>SUM(C125:C127)</f>
        <v>6</v>
      </c>
    </row>
    <row r="126">
      <c r="A126" s="17">
        <v>2024.0</v>
      </c>
      <c r="B126" s="17">
        <v>5.0</v>
      </c>
      <c r="C126" s="17">
        <v>1.0</v>
      </c>
      <c r="D126" s="17">
        <v>0.84</v>
      </c>
      <c r="E126" s="17">
        <v>0.82</v>
      </c>
      <c r="F126" s="17">
        <v>-0.08</v>
      </c>
      <c r="G126" s="17">
        <v>11.3</v>
      </c>
      <c r="H126" s="17">
        <v>61.7</v>
      </c>
      <c r="I126" s="17">
        <v>1007.4</v>
      </c>
      <c r="J126" s="17">
        <v>8.0</v>
      </c>
      <c r="K126" s="17">
        <v>0.0</v>
      </c>
      <c r="M126" s="2"/>
      <c r="N126" s="5"/>
    </row>
    <row r="127">
      <c r="A127" s="17">
        <v>2024.0</v>
      </c>
      <c r="B127" s="17">
        <v>6.0</v>
      </c>
      <c r="C127" s="17">
        <v>5.0</v>
      </c>
      <c r="D127" s="17">
        <v>1.04</v>
      </c>
      <c r="E127" s="17">
        <v>1.0</v>
      </c>
      <c r="F127" s="17">
        <v>-0.38</v>
      </c>
      <c r="G127" s="17">
        <v>7.8</v>
      </c>
      <c r="H127" s="17">
        <v>69.3</v>
      </c>
      <c r="I127" s="17">
        <v>1004.3</v>
      </c>
      <c r="J127" s="17">
        <v>6.0</v>
      </c>
      <c r="K127" s="17">
        <v>1.0</v>
      </c>
      <c r="M127" s="2"/>
      <c r="N127" s="5"/>
    </row>
    <row r="128">
      <c r="A128" s="17">
        <v>2024.0</v>
      </c>
      <c r="B128" s="17">
        <v>7.0</v>
      </c>
      <c r="C128" s="17">
        <v>8.0</v>
      </c>
      <c r="D128" s="17">
        <v>0.89</v>
      </c>
      <c r="E128" s="17">
        <v>0.92</v>
      </c>
      <c r="F128" s="17">
        <v>-0.02</v>
      </c>
      <c r="G128" s="17">
        <v>7.9</v>
      </c>
      <c r="H128" s="17">
        <v>68.8</v>
      </c>
      <c r="I128" s="17">
        <v>1003.3</v>
      </c>
      <c r="J128" s="17">
        <v>5.0</v>
      </c>
      <c r="K128" s="17">
        <v>5.0</v>
      </c>
      <c r="M128" s="2">
        <v>45474.0</v>
      </c>
      <c r="N128" s="5">
        <f>SUM(C128:C130)</f>
        <v>18</v>
      </c>
    </row>
    <row r="129">
      <c r="A129" s="17">
        <v>2024.0</v>
      </c>
      <c r="B129" s="17">
        <v>8.0</v>
      </c>
      <c r="C129" s="17">
        <v>7.0</v>
      </c>
      <c r="D129" s="17">
        <v>0.95</v>
      </c>
      <c r="E129" s="17">
        <v>0.91</v>
      </c>
      <c r="F129" s="17">
        <v>-0.24</v>
      </c>
      <c r="G129" s="17">
        <v>7.6</v>
      </c>
      <c r="H129" s="17">
        <v>65.7</v>
      </c>
      <c r="I129" s="17">
        <v>1005.3</v>
      </c>
      <c r="J129" s="17">
        <v>0.0</v>
      </c>
      <c r="K129" s="17">
        <v>8.0</v>
      </c>
      <c r="M129" s="2"/>
      <c r="N129" s="5"/>
    </row>
    <row r="130">
      <c r="A130" s="17">
        <v>2024.0</v>
      </c>
      <c r="B130" s="17">
        <v>9.0</v>
      </c>
      <c r="C130" s="17">
        <v>3.0</v>
      </c>
      <c r="D130" s="17">
        <v>0.96</v>
      </c>
      <c r="E130" s="17">
        <v>0.93</v>
      </c>
      <c r="F130" s="17">
        <v>-0.35</v>
      </c>
      <c r="G130" s="17">
        <v>8.9</v>
      </c>
      <c r="H130" s="17">
        <v>73.9</v>
      </c>
      <c r="I130" s="17">
        <v>1005.0</v>
      </c>
      <c r="J130" s="17">
        <v>2.0</v>
      </c>
      <c r="K130" s="17">
        <v>7.0</v>
      </c>
      <c r="M130" s="2"/>
      <c r="N130" s="5"/>
    </row>
    <row r="131">
      <c r="A131" s="17">
        <v>2024.0</v>
      </c>
      <c r="B131" s="17">
        <v>10.0</v>
      </c>
      <c r="C131" s="17">
        <v>2.0</v>
      </c>
      <c r="D131" s="17">
        <v>0.99</v>
      </c>
      <c r="E131" s="17">
        <v>0.94</v>
      </c>
      <c r="F131" s="17">
        <v>0.31</v>
      </c>
      <c r="G131" s="17">
        <v>9.1</v>
      </c>
      <c r="H131" s="17">
        <v>59.2</v>
      </c>
      <c r="I131" s="17">
        <v>1005.7</v>
      </c>
      <c r="J131" s="17">
        <v>6.0</v>
      </c>
      <c r="K131" s="17">
        <v>3.0</v>
      </c>
      <c r="M131" s="2">
        <v>45566.0</v>
      </c>
      <c r="N131" s="5">
        <f>SUM(C131:C133)</f>
        <v>7</v>
      </c>
    </row>
    <row r="132">
      <c r="A132" s="17">
        <v>2024.0</v>
      </c>
      <c r="B132" s="17">
        <v>11.0</v>
      </c>
      <c r="C132" s="17">
        <v>4.0</v>
      </c>
      <c r="D132" s="17">
        <v>1.06</v>
      </c>
      <c r="E132" s="17">
        <v>1.02</v>
      </c>
      <c r="F132" s="17">
        <v>0.41</v>
      </c>
      <c r="G132" s="17">
        <v>9.7</v>
      </c>
      <c r="H132" s="17">
        <v>62.2</v>
      </c>
      <c r="I132" s="17">
        <v>1008.4</v>
      </c>
      <c r="J132" s="17">
        <v>5.0</v>
      </c>
      <c r="K132" s="17">
        <v>2.0</v>
      </c>
      <c r="M132" s="2"/>
      <c r="N132" s="5"/>
    </row>
    <row r="133">
      <c r="A133" s="17">
        <v>2024.0</v>
      </c>
      <c r="B133" s="17">
        <v>12.0</v>
      </c>
      <c r="C133" s="17">
        <v>1.0</v>
      </c>
      <c r="D133" s="17">
        <v>1.09</v>
      </c>
      <c r="E133" s="17">
        <v>1.09</v>
      </c>
      <c r="F133" s="17">
        <v>0.5</v>
      </c>
      <c r="G133" s="17">
        <v>12.5</v>
      </c>
      <c r="H133" s="17">
        <v>57.8</v>
      </c>
      <c r="I133" s="17">
        <v>1009.3</v>
      </c>
      <c r="J133" s="17">
        <v>3.0</v>
      </c>
      <c r="K133" s="17">
        <v>4.0</v>
      </c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N261" s="5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  <row r="357">
      <c r="N357" s="5"/>
    </row>
    <row r="358">
      <c r="N358" s="5"/>
    </row>
    <row r="359">
      <c r="N359" s="5"/>
    </row>
    <row r="360">
      <c r="N360" s="5"/>
    </row>
    <row r="361">
      <c r="N361" s="5"/>
    </row>
    <row r="362">
      <c r="N362" s="5"/>
    </row>
    <row r="363">
      <c r="N363" s="5"/>
    </row>
    <row r="364">
      <c r="N364" s="5"/>
    </row>
    <row r="365">
      <c r="N365" s="5"/>
    </row>
    <row r="366">
      <c r="N366" s="5"/>
    </row>
    <row r="367">
      <c r="N367" s="5"/>
    </row>
    <row r="368">
      <c r="N368" s="5"/>
    </row>
    <row r="369">
      <c r="N369" s="5"/>
    </row>
    <row r="370">
      <c r="N370" s="5"/>
    </row>
    <row r="371">
      <c r="N371" s="5"/>
    </row>
    <row r="372">
      <c r="N372" s="5"/>
    </row>
    <row r="373">
      <c r="N373" s="5"/>
    </row>
    <row r="374">
      <c r="N374" s="5"/>
    </row>
    <row r="375">
      <c r="N375" s="5"/>
    </row>
    <row r="376">
      <c r="N376" s="5"/>
    </row>
    <row r="377">
      <c r="N377" s="5"/>
    </row>
    <row r="378">
      <c r="N378" s="5"/>
    </row>
    <row r="379">
      <c r="N379" s="5"/>
    </row>
    <row r="380">
      <c r="N380" s="5"/>
    </row>
    <row r="381">
      <c r="N381" s="5"/>
    </row>
    <row r="382">
      <c r="N382" s="5"/>
    </row>
    <row r="383">
      <c r="N383" s="5"/>
    </row>
    <row r="384">
      <c r="N384" s="5"/>
    </row>
    <row r="385">
      <c r="N385" s="5"/>
    </row>
    <row r="386">
      <c r="N386" s="5"/>
    </row>
    <row r="387">
      <c r="N387" s="5"/>
    </row>
    <row r="388">
      <c r="N388" s="5"/>
    </row>
    <row r="389">
      <c r="N389" s="5"/>
    </row>
    <row r="390">
      <c r="N390" s="5"/>
    </row>
    <row r="391">
      <c r="N391" s="5"/>
    </row>
    <row r="392">
      <c r="N392" s="5"/>
    </row>
    <row r="393">
      <c r="N393" s="5"/>
    </row>
    <row r="394">
      <c r="N394" s="5"/>
    </row>
    <row r="395">
      <c r="N395" s="5"/>
    </row>
    <row r="396">
      <c r="N396" s="5"/>
    </row>
    <row r="397">
      <c r="N397" s="5"/>
    </row>
    <row r="398">
      <c r="N398" s="5"/>
    </row>
    <row r="399">
      <c r="N399" s="5"/>
    </row>
    <row r="400">
      <c r="N400" s="5"/>
    </row>
    <row r="401">
      <c r="N401" s="5"/>
    </row>
    <row r="402">
      <c r="N402" s="5"/>
    </row>
    <row r="403">
      <c r="N403" s="5"/>
    </row>
    <row r="404">
      <c r="N404" s="5"/>
    </row>
    <row r="405">
      <c r="N405" s="5"/>
    </row>
    <row r="406">
      <c r="N406" s="5"/>
    </row>
    <row r="407">
      <c r="N407" s="5"/>
    </row>
    <row r="408">
      <c r="N408" s="5"/>
    </row>
    <row r="409">
      <c r="N409" s="5"/>
    </row>
    <row r="410">
      <c r="N410" s="5"/>
    </row>
    <row r="411">
      <c r="N411" s="5"/>
    </row>
    <row r="412">
      <c r="N412" s="5"/>
    </row>
    <row r="413">
      <c r="N413" s="5"/>
    </row>
    <row r="414">
      <c r="N414" s="5"/>
    </row>
    <row r="415">
      <c r="N415" s="5"/>
    </row>
    <row r="416">
      <c r="N416" s="5"/>
    </row>
    <row r="417">
      <c r="N417" s="5"/>
    </row>
    <row r="418">
      <c r="N418" s="5"/>
    </row>
    <row r="419">
      <c r="N419" s="5"/>
    </row>
    <row r="420">
      <c r="N420" s="5"/>
    </row>
    <row r="421">
      <c r="N421" s="5"/>
    </row>
    <row r="422">
      <c r="N422" s="5"/>
    </row>
    <row r="423">
      <c r="N423" s="5"/>
    </row>
    <row r="424">
      <c r="N424" s="5"/>
    </row>
    <row r="425">
      <c r="N425" s="5"/>
    </row>
    <row r="426">
      <c r="N426" s="5"/>
    </row>
    <row r="427">
      <c r="N427" s="5"/>
    </row>
    <row r="428">
      <c r="N428" s="5"/>
    </row>
    <row r="429">
      <c r="N429" s="5"/>
    </row>
    <row r="430">
      <c r="N430" s="5"/>
    </row>
    <row r="431">
      <c r="N431" s="5"/>
    </row>
    <row r="432">
      <c r="N432" s="5"/>
    </row>
    <row r="433">
      <c r="N433" s="5"/>
    </row>
    <row r="434">
      <c r="N434" s="5"/>
    </row>
    <row r="435">
      <c r="N435" s="5"/>
    </row>
    <row r="436">
      <c r="N436" s="5"/>
    </row>
    <row r="437">
      <c r="N437" s="5"/>
    </row>
    <row r="438">
      <c r="N438" s="5"/>
    </row>
    <row r="439">
      <c r="N439" s="5"/>
    </row>
    <row r="440">
      <c r="N440" s="5"/>
    </row>
    <row r="441">
      <c r="N441" s="5"/>
    </row>
    <row r="442">
      <c r="N442" s="5"/>
    </row>
    <row r="443">
      <c r="N443" s="5"/>
    </row>
    <row r="444">
      <c r="N444" s="5"/>
    </row>
    <row r="445">
      <c r="N445" s="5"/>
    </row>
    <row r="446">
      <c r="N446" s="5"/>
    </row>
    <row r="447">
      <c r="N447" s="5"/>
    </row>
    <row r="448">
      <c r="N448" s="5"/>
    </row>
    <row r="449">
      <c r="N449" s="5"/>
    </row>
    <row r="450">
      <c r="N450" s="5"/>
    </row>
    <row r="451">
      <c r="N451" s="5"/>
    </row>
    <row r="452">
      <c r="N452" s="5"/>
    </row>
    <row r="453">
      <c r="N453" s="5"/>
    </row>
    <row r="454">
      <c r="N454" s="5"/>
    </row>
    <row r="455">
      <c r="N455" s="5"/>
    </row>
    <row r="456">
      <c r="N456" s="5"/>
    </row>
    <row r="457">
      <c r="N457" s="5"/>
    </row>
    <row r="458">
      <c r="N458" s="5"/>
    </row>
    <row r="459">
      <c r="N459" s="5"/>
    </row>
    <row r="460">
      <c r="N460" s="5"/>
    </row>
    <row r="461">
      <c r="N461" s="5"/>
    </row>
    <row r="462">
      <c r="N462" s="5"/>
    </row>
    <row r="463">
      <c r="N463" s="5"/>
    </row>
    <row r="464">
      <c r="N464" s="5"/>
    </row>
    <row r="465">
      <c r="N465" s="5"/>
    </row>
    <row r="466">
      <c r="N466" s="5"/>
    </row>
    <row r="467">
      <c r="N467" s="5"/>
    </row>
    <row r="468">
      <c r="N468" s="5"/>
    </row>
    <row r="469">
      <c r="N469" s="5"/>
    </row>
    <row r="470">
      <c r="N470" s="5"/>
    </row>
    <row r="471">
      <c r="N471" s="5"/>
    </row>
    <row r="472">
      <c r="N472" s="5"/>
    </row>
    <row r="473">
      <c r="N473" s="5"/>
    </row>
    <row r="474">
      <c r="N474" s="5"/>
    </row>
    <row r="475">
      <c r="N475" s="5"/>
    </row>
    <row r="476">
      <c r="N476" s="5"/>
    </row>
    <row r="477">
      <c r="N477" s="5"/>
    </row>
    <row r="478">
      <c r="N478" s="5"/>
    </row>
    <row r="479">
      <c r="N479" s="5"/>
    </row>
    <row r="480">
      <c r="N480" s="5"/>
    </row>
    <row r="481">
      <c r="N481" s="5"/>
    </row>
    <row r="482">
      <c r="N482" s="5"/>
    </row>
    <row r="483">
      <c r="N483" s="5"/>
    </row>
    <row r="484">
      <c r="N484" s="5"/>
    </row>
    <row r="485">
      <c r="N485" s="5"/>
    </row>
    <row r="486">
      <c r="N486" s="5"/>
    </row>
    <row r="487">
      <c r="N487" s="5"/>
    </row>
    <row r="488">
      <c r="N488" s="5"/>
    </row>
    <row r="489">
      <c r="N489" s="5"/>
    </row>
    <row r="490">
      <c r="N490" s="5"/>
    </row>
    <row r="491">
      <c r="N491" s="5"/>
    </row>
    <row r="492">
      <c r="N492" s="5"/>
    </row>
    <row r="493">
      <c r="N493" s="5"/>
    </row>
    <row r="494">
      <c r="N494" s="5"/>
    </row>
    <row r="495">
      <c r="N495" s="5"/>
    </row>
    <row r="496">
      <c r="N496" s="5"/>
    </row>
    <row r="497">
      <c r="N497" s="5"/>
    </row>
    <row r="498">
      <c r="N498" s="5"/>
    </row>
    <row r="499">
      <c r="N499" s="5"/>
    </row>
    <row r="500">
      <c r="N500" s="5"/>
    </row>
    <row r="501">
      <c r="N501" s="5"/>
    </row>
    <row r="502">
      <c r="N502" s="5"/>
    </row>
    <row r="503">
      <c r="N503" s="5"/>
    </row>
    <row r="504">
      <c r="N504" s="5"/>
    </row>
    <row r="505">
      <c r="N505" s="5"/>
    </row>
    <row r="506">
      <c r="N506" s="5"/>
    </row>
    <row r="507">
      <c r="N507" s="5"/>
    </row>
    <row r="508">
      <c r="N508" s="5"/>
    </row>
    <row r="509">
      <c r="N509" s="5"/>
    </row>
    <row r="510">
      <c r="N510" s="5"/>
    </row>
    <row r="511">
      <c r="N511" s="5"/>
    </row>
    <row r="512">
      <c r="N512" s="5"/>
    </row>
    <row r="513">
      <c r="N513" s="5"/>
    </row>
    <row r="514">
      <c r="N514" s="5"/>
    </row>
    <row r="515">
      <c r="N515" s="5"/>
    </row>
    <row r="516">
      <c r="N516" s="5"/>
    </row>
    <row r="517">
      <c r="N517" s="5"/>
    </row>
    <row r="518">
      <c r="N518" s="5"/>
    </row>
    <row r="519">
      <c r="N519" s="5"/>
    </row>
    <row r="520">
      <c r="N520" s="5"/>
    </row>
    <row r="521">
      <c r="N521" s="5"/>
    </row>
    <row r="522">
      <c r="N522" s="5"/>
    </row>
    <row r="523">
      <c r="N523" s="5"/>
    </row>
    <row r="524">
      <c r="N524" s="5"/>
    </row>
    <row r="525">
      <c r="N525" s="5"/>
    </row>
    <row r="526">
      <c r="N526" s="5"/>
    </row>
    <row r="527">
      <c r="N527" s="5"/>
    </row>
    <row r="528">
      <c r="N528" s="5"/>
    </row>
    <row r="529">
      <c r="N529" s="5"/>
    </row>
    <row r="530">
      <c r="N530" s="5"/>
    </row>
    <row r="531">
      <c r="N531" s="5"/>
    </row>
    <row r="532">
      <c r="N532" s="5"/>
    </row>
    <row r="533">
      <c r="N533" s="5"/>
    </row>
    <row r="534">
      <c r="N534" s="5"/>
    </row>
    <row r="535">
      <c r="N535" s="5"/>
    </row>
    <row r="536">
      <c r="N536" s="5"/>
    </row>
    <row r="537">
      <c r="N537" s="5"/>
    </row>
    <row r="538">
      <c r="N538" s="5"/>
    </row>
    <row r="539">
      <c r="N539" s="5"/>
    </row>
    <row r="540">
      <c r="N540" s="5"/>
    </row>
    <row r="541">
      <c r="N541" s="5"/>
    </row>
    <row r="542">
      <c r="N542" s="5"/>
    </row>
    <row r="543">
      <c r="N543" s="5"/>
    </row>
    <row r="544">
      <c r="N544" s="5"/>
    </row>
    <row r="545">
      <c r="N545" s="5"/>
    </row>
    <row r="546">
      <c r="N546" s="5"/>
    </row>
    <row r="547">
      <c r="N547" s="5"/>
    </row>
    <row r="548">
      <c r="N548" s="5"/>
    </row>
    <row r="549">
      <c r="N549" s="5"/>
    </row>
    <row r="550">
      <c r="N550" s="5"/>
    </row>
    <row r="551">
      <c r="N551" s="5"/>
    </row>
    <row r="552">
      <c r="N552" s="5"/>
    </row>
    <row r="553">
      <c r="N553" s="5"/>
    </row>
    <row r="554">
      <c r="N554" s="5"/>
    </row>
    <row r="555">
      <c r="N555" s="5"/>
    </row>
    <row r="556">
      <c r="N556" s="5"/>
    </row>
    <row r="557">
      <c r="N557" s="5"/>
    </row>
    <row r="558">
      <c r="N558" s="5"/>
    </row>
    <row r="559">
      <c r="N559" s="5"/>
    </row>
    <row r="560">
      <c r="N560" s="5"/>
    </row>
    <row r="561">
      <c r="N561" s="5"/>
    </row>
    <row r="562">
      <c r="N562" s="5"/>
    </row>
    <row r="563">
      <c r="N563" s="5"/>
    </row>
    <row r="564">
      <c r="N564" s="5"/>
    </row>
    <row r="565">
      <c r="N565" s="5"/>
    </row>
    <row r="566">
      <c r="N566" s="5"/>
    </row>
    <row r="567">
      <c r="N567" s="5"/>
    </row>
    <row r="568">
      <c r="N568" s="5"/>
    </row>
    <row r="569">
      <c r="N569" s="5"/>
    </row>
    <row r="570">
      <c r="N570" s="5"/>
    </row>
    <row r="571">
      <c r="N571" s="5"/>
    </row>
    <row r="572">
      <c r="N572" s="5"/>
    </row>
    <row r="573">
      <c r="N573" s="5"/>
    </row>
    <row r="574">
      <c r="N574" s="5"/>
    </row>
    <row r="575">
      <c r="N575" s="5"/>
    </row>
    <row r="576">
      <c r="N576" s="5"/>
    </row>
    <row r="577">
      <c r="N577" s="5"/>
    </row>
    <row r="578">
      <c r="N578" s="5"/>
    </row>
    <row r="579">
      <c r="N579" s="5"/>
    </row>
    <row r="580">
      <c r="N580" s="5"/>
    </row>
    <row r="581">
      <c r="N581" s="5"/>
    </row>
    <row r="582">
      <c r="N582" s="5"/>
    </row>
    <row r="583">
      <c r="N583" s="5"/>
    </row>
    <row r="584">
      <c r="N584" s="5"/>
    </row>
    <row r="585">
      <c r="N585" s="5"/>
    </row>
    <row r="586">
      <c r="N586" s="5"/>
    </row>
    <row r="587">
      <c r="N587" s="5"/>
    </row>
    <row r="588">
      <c r="N588" s="5"/>
    </row>
    <row r="589">
      <c r="N589" s="5"/>
    </row>
    <row r="590">
      <c r="N590" s="5"/>
    </row>
    <row r="591">
      <c r="N591" s="5"/>
    </row>
    <row r="592">
      <c r="N592" s="5"/>
    </row>
    <row r="593">
      <c r="N593" s="5"/>
    </row>
    <row r="594">
      <c r="N594" s="5"/>
    </row>
    <row r="595">
      <c r="N595" s="5"/>
    </row>
    <row r="596">
      <c r="N596" s="5"/>
    </row>
    <row r="597">
      <c r="N597" s="5"/>
    </row>
    <row r="598">
      <c r="N598" s="5"/>
    </row>
    <row r="599">
      <c r="N599" s="5"/>
    </row>
    <row r="600">
      <c r="N600" s="5"/>
    </row>
    <row r="601">
      <c r="N601" s="5"/>
    </row>
    <row r="602">
      <c r="N602" s="5"/>
    </row>
    <row r="603">
      <c r="N603" s="5"/>
    </row>
    <row r="604">
      <c r="N604" s="5"/>
    </row>
    <row r="605">
      <c r="N605" s="5"/>
    </row>
    <row r="606">
      <c r="N606" s="5"/>
    </row>
    <row r="607">
      <c r="N607" s="5"/>
    </row>
    <row r="608">
      <c r="N608" s="5"/>
    </row>
    <row r="609">
      <c r="N609" s="5"/>
    </row>
    <row r="610">
      <c r="N610" s="5"/>
    </row>
    <row r="611">
      <c r="N611" s="5"/>
    </row>
    <row r="612">
      <c r="N612" s="5"/>
    </row>
    <row r="613">
      <c r="N613" s="5"/>
    </row>
    <row r="614">
      <c r="N614" s="5"/>
    </row>
    <row r="615">
      <c r="N615" s="5"/>
    </row>
    <row r="616">
      <c r="N616" s="5"/>
    </row>
    <row r="617">
      <c r="N617" s="5"/>
    </row>
    <row r="618">
      <c r="N618" s="5"/>
    </row>
    <row r="619">
      <c r="N619" s="5"/>
    </row>
    <row r="620">
      <c r="N620" s="5"/>
    </row>
    <row r="621">
      <c r="N621" s="5"/>
    </row>
    <row r="622">
      <c r="N622" s="5"/>
    </row>
    <row r="623">
      <c r="N623" s="5"/>
    </row>
    <row r="624">
      <c r="N624" s="5"/>
    </row>
    <row r="625">
      <c r="N625" s="5"/>
    </row>
    <row r="626">
      <c r="N626" s="5"/>
    </row>
    <row r="627">
      <c r="N627" s="5"/>
    </row>
    <row r="628">
      <c r="N628" s="5"/>
    </row>
    <row r="629">
      <c r="N629" s="5"/>
    </row>
    <row r="630">
      <c r="N630" s="5"/>
    </row>
    <row r="631">
      <c r="N631" s="5"/>
    </row>
    <row r="632">
      <c r="N632" s="5"/>
    </row>
    <row r="633">
      <c r="N633" s="5"/>
    </row>
    <row r="634">
      <c r="N634" s="5"/>
    </row>
    <row r="635">
      <c r="N635" s="5"/>
    </row>
    <row r="636">
      <c r="N636" s="5"/>
    </row>
    <row r="637">
      <c r="N637" s="5"/>
    </row>
    <row r="638">
      <c r="N638" s="5"/>
    </row>
    <row r="639">
      <c r="N639" s="5"/>
    </row>
    <row r="640">
      <c r="N640" s="5"/>
    </row>
    <row r="641">
      <c r="N641" s="5"/>
    </row>
    <row r="642">
      <c r="N642" s="5"/>
    </row>
    <row r="643">
      <c r="N643" s="5"/>
    </row>
    <row r="644">
      <c r="N644" s="5"/>
    </row>
    <row r="645">
      <c r="N645" s="5"/>
    </row>
    <row r="646">
      <c r="N646" s="5"/>
    </row>
    <row r="647">
      <c r="N647" s="5"/>
    </row>
    <row r="648">
      <c r="N648" s="5"/>
    </row>
    <row r="649">
      <c r="N649" s="5"/>
    </row>
    <row r="650">
      <c r="N650" s="5"/>
    </row>
    <row r="651">
      <c r="N651" s="5"/>
    </row>
    <row r="652">
      <c r="N652" s="5"/>
    </row>
    <row r="653">
      <c r="N653" s="5"/>
    </row>
    <row r="654">
      <c r="N654" s="5"/>
    </row>
    <row r="655">
      <c r="N655" s="5"/>
    </row>
    <row r="656">
      <c r="N656" s="5"/>
    </row>
    <row r="657">
      <c r="N657" s="5"/>
    </row>
    <row r="658">
      <c r="N658" s="5"/>
    </row>
    <row r="659">
      <c r="N659" s="5"/>
    </row>
    <row r="660">
      <c r="N660" s="5"/>
    </row>
    <row r="661">
      <c r="N661" s="5"/>
    </row>
    <row r="662">
      <c r="N662" s="5"/>
    </row>
    <row r="663">
      <c r="N663" s="5"/>
    </row>
    <row r="664">
      <c r="N664" s="5"/>
    </row>
    <row r="665">
      <c r="N665" s="5"/>
    </row>
    <row r="666">
      <c r="N666" s="5"/>
    </row>
    <row r="667">
      <c r="N667" s="5"/>
    </row>
    <row r="668">
      <c r="N668" s="5"/>
    </row>
    <row r="669">
      <c r="N669" s="5"/>
    </row>
    <row r="670">
      <c r="N670" s="5"/>
    </row>
    <row r="671">
      <c r="N671" s="5"/>
    </row>
    <row r="672">
      <c r="N672" s="5"/>
    </row>
    <row r="673">
      <c r="N673" s="5"/>
    </row>
    <row r="674">
      <c r="N674" s="5"/>
    </row>
    <row r="675">
      <c r="N675" s="5"/>
    </row>
    <row r="676">
      <c r="N676" s="5"/>
    </row>
    <row r="677">
      <c r="N677" s="5"/>
    </row>
    <row r="678">
      <c r="N678" s="5"/>
    </row>
    <row r="679">
      <c r="N679" s="5"/>
    </row>
    <row r="680">
      <c r="N680" s="5"/>
    </row>
    <row r="681">
      <c r="N681" s="5"/>
    </row>
    <row r="682">
      <c r="N682" s="5"/>
    </row>
    <row r="683">
      <c r="N683" s="5"/>
    </row>
    <row r="684">
      <c r="N684" s="5"/>
    </row>
    <row r="685">
      <c r="N685" s="5"/>
    </row>
    <row r="686">
      <c r="N686" s="5"/>
    </row>
    <row r="687">
      <c r="N687" s="5"/>
    </row>
    <row r="688">
      <c r="N688" s="5"/>
    </row>
    <row r="689">
      <c r="N689" s="5"/>
    </row>
    <row r="690">
      <c r="N690" s="5"/>
    </row>
    <row r="691">
      <c r="N691" s="5"/>
    </row>
    <row r="692">
      <c r="N692" s="5"/>
    </row>
    <row r="693">
      <c r="N693" s="5"/>
    </row>
    <row r="694">
      <c r="N694" s="5"/>
    </row>
    <row r="695">
      <c r="N695" s="5"/>
    </row>
    <row r="696">
      <c r="N696" s="5"/>
    </row>
    <row r="697">
      <c r="N697" s="5"/>
    </row>
    <row r="698">
      <c r="N698" s="5"/>
    </row>
    <row r="699">
      <c r="N699" s="5"/>
    </row>
    <row r="700">
      <c r="N700" s="5"/>
    </row>
    <row r="701">
      <c r="N701" s="5"/>
    </row>
    <row r="702">
      <c r="N702" s="5"/>
    </row>
    <row r="703">
      <c r="N703" s="5"/>
    </row>
    <row r="704">
      <c r="N704" s="5"/>
    </row>
    <row r="705">
      <c r="N705" s="5"/>
    </row>
    <row r="706">
      <c r="N706" s="5"/>
    </row>
    <row r="707">
      <c r="N707" s="5"/>
    </row>
    <row r="708">
      <c r="N708" s="5"/>
    </row>
    <row r="709">
      <c r="N709" s="5"/>
    </row>
    <row r="710">
      <c r="N710" s="5"/>
    </row>
    <row r="711">
      <c r="N711" s="5"/>
    </row>
    <row r="712">
      <c r="N712" s="5"/>
    </row>
    <row r="713">
      <c r="N713" s="5"/>
    </row>
    <row r="714">
      <c r="N714" s="5"/>
    </row>
    <row r="715">
      <c r="N715" s="5"/>
    </row>
    <row r="716">
      <c r="N716" s="5"/>
    </row>
    <row r="717">
      <c r="N717" s="5"/>
    </row>
    <row r="718">
      <c r="N718" s="5"/>
    </row>
    <row r="719">
      <c r="N719" s="5"/>
    </row>
    <row r="720">
      <c r="N720" s="5"/>
    </row>
    <row r="721">
      <c r="N721" s="5"/>
    </row>
    <row r="722">
      <c r="N722" s="5"/>
    </row>
    <row r="723">
      <c r="N723" s="5"/>
    </row>
    <row r="724">
      <c r="N724" s="5"/>
    </row>
    <row r="725">
      <c r="N725" s="5"/>
    </row>
    <row r="726">
      <c r="N726" s="5"/>
    </row>
    <row r="727">
      <c r="N727" s="5"/>
    </row>
    <row r="728">
      <c r="N728" s="5"/>
    </row>
    <row r="729">
      <c r="N729" s="5"/>
    </row>
    <row r="730">
      <c r="N730" s="5"/>
    </row>
    <row r="731">
      <c r="N731" s="5"/>
    </row>
    <row r="732">
      <c r="N732" s="5"/>
    </row>
    <row r="733">
      <c r="N733" s="5"/>
    </row>
    <row r="734">
      <c r="N734" s="5"/>
    </row>
    <row r="735">
      <c r="N735" s="5"/>
    </row>
    <row r="736">
      <c r="N736" s="5"/>
    </row>
    <row r="737">
      <c r="N737" s="5"/>
    </row>
    <row r="738">
      <c r="N738" s="5"/>
    </row>
    <row r="739">
      <c r="N739" s="5"/>
    </row>
    <row r="740">
      <c r="N740" s="5"/>
    </row>
    <row r="741">
      <c r="N741" s="5"/>
    </row>
    <row r="742">
      <c r="N742" s="5"/>
    </row>
    <row r="743">
      <c r="N743" s="5"/>
    </row>
    <row r="744">
      <c r="N744" s="5"/>
    </row>
    <row r="745">
      <c r="N745" s="5"/>
    </row>
    <row r="746">
      <c r="N746" s="5"/>
    </row>
    <row r="747">
      <c r="N747" s="5"/>
    </row>
    <row r="748">
      <c r="N748" s="5"/>
    </row>
    <row r="749">
      <c r="N749" s="5"/>
    </row>
    <row r="750">
      <c r="N750" s="5"/>
    </row>
    <row r="751">
      <c r="N751" s="5"/>
    </row>
    <row r="752">
      <c r="N752" s="5"/>
    </row>
    <row r="753">
      <c r="N753" s="5"/>
    </row>
    <row r="754">
      <c r="N754" s="5"/>
    </row>
    <row r="755">
      <c r="N755" s="5"/>
    </row>
    <row r="756">
      <c r="N756" s="5"/>
    </row>
    <row r="757">
      <c r="N757" s="5"/>
    </row>
    <row r="758">
      <c r="N758" s="5"/>
    </row>
    <row r="759">
      <c r="N759" s="5"/>
    </row>
    <row r="760">
      <c r="N760" s="5"/>
    </row>
    <row r="761">
      <c r="N761" s="5"/>
    </row>
    <row r="762">
      <c r="N762" s="5"/>
    </row>
    <row r="763">
      <c r="N763" s="5"/>
    </row>
    <row r="764">
      <c r="N764" s="5"/>
    </row>
    <row r="765">
      <c r="N765" s="5"/>
    </row>
    <row r="766">
      <c r="N766" s="5"/>
    </row>
    <row r="767">
      <c r="N767" s="5"/>
    </row>
    <row r="768">
      <c r="N768" s="5"/>
    </row>
    <row r="769">
      <c r="N769" s="5"/>
    </row>
    <row r="770">
      <c r="N770" s="5"/>
    </row>
    <row r="771">
      <c r="N771" s="5"/>
    </row>
    <row r="772">
      <c r="N772" s="5"/>
    </row>
    <row r="773">
      <c r="N773" s="5"/>
    </row>
    <row r="774">
      <c r="N774" s="5"/>
    </row>
    <row r="775">
      <c r="N775" s="5"/>
    </row>
    <row r="776">
      <c r="N776" s="5"/>
    </row>
    <row r="777">
      <c r="N777" s="5"/>
    </row>
    <row r="778">
      <c r="N778" s="5"/>
    </row>
    <row r="779">
      <c r="N779" s="5"/>
    </row>
    <row r="780">
      <c r="N780" s="5"/>
    </row>
    <row r="781">
      <c r="N781" s="5"/>
    </row>
    <row r="782">
      <c r="N782" s="5"/>
    </row>
    <row r="783">
      <c r="N783" s="5"/>
    </row>
    <row r="784">
      <c r="N784" s="5"/>
    </row>
    <row r="785">
      <c r="N785" s="5"/>
    </row>
    <row r="786">
      <c r="N786" s="5"/>
    </row>
    <row r="787">
      <c r="N787" s="5"/>
    </row>
    <row r="788">
      <c r="N788" s="5"/>
    </row>
    <row r="789">
      <c r="N789" s="5"/>
    </row>
    <row r="790">
      <c r="N790" s="5"/>
    </row>
    <row r="791">
      <c r="N791" s="5"/>
    </row>
    <row r="792">
      <c r="N792" s="5"/>
    </row>
    <row r="793">
      <c r="N793" s="5"/>
    </row>
    <row r="794">
      <c r="N794" s="5"/>
    </row>
    <row r="795">
      <c r="N795" s="5"/>
    </row>
    <row r="796">
      <c r="N796" s="5"/>
    </row>
    <row r="797">
      <c r="N797" s="5"/>
    </row>
    <row r="798">
      <c r="N798" s="5"/>
    </row>
    <row r="799">
      <c r="N799" s="5"/>
    </row>
    <row r="800">
      <c r="N800" s="5"/>
    </row>
    <row r="801">
      <c r="N801" s="5"/>
    </row>
    <row r="802">
      <c r="N802" s="5"/>
    </row>
    <row r="803">
      <c r="N803" s="5"/>
    </row>
    <row r="804">
      <c r="N804" s="5"/>
    </row>
    <row r="805">
      <c r="N805" s="5"/>
    </row>
    <row r="806">
      <c r="N806" s="5"/>
    </row>
    <row r="807">
      <c r="N807" s="5"/>
    </row>
    <row r="808">
      <c r="N808" s="5"/>
    </row>
    <row r="809">
      <c r="N809" s="5"/>
    </row>
    <row r="810">
      <c r="N810" s="5"/>
    </row>
    <row r="811">
      <c r="N811" s="5"/>
    </row>
    <row r="812">
      <c r="N812" s="5"/>
    </row>
    <row r="813">
      <c r="N813" s="5"/>
    </row>
    <row r="814">
      <c r="N814" s="5"/>
    </row>
    <row r="815">
      <c r="N815" s="5"/>
    </row>
    <row r="816">
      <c r="N816" s="5"/>
    </row>
    <row r="817">
      <c r="N817" s="5"/>
    </row>
    <row r="818">
      <c r="N818" s="5"/>
    </row>
    <row r="819">
      <c r="N819" s="5"/>
    </row>
    <row r="820">
      <c r="N820" s="5"/>
    </row>
    <row r="821">
      <c r="N821" s="5"/>
    </row>
    <row r="822">
      <c r="N822" s="5"/>
    </row>
    <row r="823">
      <c r="N823" s="5"/>
    </row>
    <row r="824">
      <c r="N824" s="5"/>
    </row>
    <row r="825">
      <c r="N825" s="5"/>
    </row>
    <row r="826">
      <c r="N826" s="5"/>
    </row>
    <row r="827">
      <c r="N827" s="5"/>
    </row>
    <row r="828">
      <c r="N828" s="5"/>
    </row>
    <row r="829">
      <c r="N829" s="5"/>
    </row>
    <row r="830">
      <c r="N830" s="5"/>
    </row>
    <row r="831">
      <c r="N831" s="5"/>
    </row>
    <row r="832">
      <c r="N832" s="5"/>
    </row>
    <row r="833">
      <c r="N833" s="5"/>
    </row>
    <row r="834">
      <c r="N834" s="5"/>
    </row>
    <row r="835">
      <c r="N835" s="5"/>
    </row>
    <row r="836">
      <c r="N836" s="5"/>
    </row>
    <row r="837">
      <c r="N837" s="5"/>
    </row>
    <row r="838">
      <c r="N838" s="5"/>
    </row>
    <row r="839">
      <c r="N839" s="5"/>
    </row>
    <row r="840">
      <c r="N840" s="5"/>
    </row>
    <row r="841">
      <c r="N841" s="5"/>
    </row>
    <row r="842">
      <c r="N842" s="5"/>
    </row>
    <row r="843">
      <c r="N843" s="5"/>
    </row>
    <row r="844">
      <c r="N844" s="5"/>
    </row>
    <row r="845">
      <c r="N845" s="5"/>
    </row>
    <row r="846">
      <c r="N846" s="5"/>
    </row>
    <row r="847">
      <c r="N847" s="5"/>
    </row>
    <row r="848">
      <c r="N848" s="5"/>
    </row>
    <row r="849">
      <c r="N849" s="5"/>
    </row>
    <row r="850">
      <c r="N850" s="5"/>
    </row>
    <row r="851">
      <c r="N851" s="5"/>
    </row>
    <row r="852">
      <c r="N852" s="5"/>
    </row>
    <row r="853">
      <c r="N853" s="5"/>
    </row>
    <row r="854">
      <c r="N854" s="5"/>
    </row>
    <row r="855">
      <c r="N855" s="5"/>
    </row>
    <row r="856">
      <c r="N856" s="5"/>
    </row>
    <row r="857">
      <c r="N857" s="5"/>
    </row>
    <row r="858">
      <c r="N858" s="5"/>
    </row>
    <row r="859">
      <c r="N859" s="5"/>
    </row>
    <row r="860">
      <c r="N860" s="5"/>
    </row>
    <row r="861">
      <c r="N861" s="5"/>
    </row>
    <row r="862">
      <c r="N862" s="5"/>
    </row>
    <row r="863">
      <c r="N863" s="5"/>
    </row>
    <row r="864">
      <c r="N864" s="5"/>
    </row>
    <row r="865">
      <c r="N865" s="5"/>
    </row>
    <row r="866">
      <c r="N866" s="5"/>
    </row>
    <row r="867">
      <c r="N867" s="5"/>
    </row>
    <row r="868">
      <c r="N868" s="5"/>
    </row>
    <row r="869">
      <c r="N869" s="5"/>
    </row>
    <row r="870">
      <c r="N870" s="5"/>
    </row>
    <row r="871">
      <c r="N871" s="5"/>
    </row>
    <row r="872">
      <c r="N872" s="5"/>
    </row>
    <row r="873">
      <c r="N873" s="5"/>
    </row>
    <row r="874">
      <c r="N874" s="5"/>
    </row>
    <row r="875">
      <c r="N875" s="5"/>
    </row>
    <row r="876">
      <c r="N876" s="5"/>
    </row>
    <row r="877">
      <c r="N877" s="5"/>
    </row>
    <row r="878">
      <c r="N878" s="5"/>
    </row>
    <row r="879">
      <c r="N879" s="5"/>
    </row>
    <row r="880">
      <c r="N880" s="5"/>
    </row>
    <row r="881">
      <c r="N881" s="5"/>
    </row>
    <row r="882">
      <c r="N882" s="5"/>
    </row>
    <row r="883">
      <c r="N883" s="5"/>
    </row>
    <row r="884">
      <c r="N884" s="5"/>
    </row>
    <row r="885">
      <c r="N885" s="5"/>
    </row>
    <row r="886">
      <c r="N886" s="5"/>
    </row>
    <row r="887">
      <c r="N887" s="5"/>
    </row>
    <row r="888">
      <c r="N888" s="5"/>
    </row>
    <row r="889">
      <c r="N889" s="5"/>
    </row>
    <row r="890">
      <c r="N890" s="5"/>
    </row>
    <row r="891">
      <c r="N891" s="5"/>
    </row>
    <row r="892">
      <c r="N892" s="5"/>
    </row>
    <row r="893">
      <c r="N893" s="5"/>
    </row>
    <row r="894">
      <c r="N894" s="5"/>
    </row>
    <row r="895">
      <c r="N895" s="5"/>
    </row>
    <row r="896">
      <c r="N896" s="5"/>
    </row>
    <row r="897">
      <c r="N897" s="5"/>
    </row>
    <row r="898">
      <c r="N898" s="5"/>
    </row>
    <row r="899">
      <c r="N899" s="5"/>
    </row>
    <row r="900">
      <c r="N900" s="5"/>
    </row>
    <row r="901">
      <c r="N901" s="5"/>
    </row>
    <row r="902">
      <c r="N902" s="5"/>
    </row>
    <row r="903">
      <c r="N903" s="5"/>
    </row>
    <row r="904">
      <c r="N904" s="5"/>
    </row>
    <row r="905">
      <c r="N905" s="5"/>
    </row>
    <row r="906">
      <c r="N906" s="5"/>
    </row>
    <row r="907">
      <c r="N907" s="5"/>
    </row>
    <row r="908">
      <c r="N908" s="5"/>
    </row>
    <row r="909">
      <c r="N909" s="5"/>
    </row>
    <row r="910">
      <c r="N910" s="5"/>
    </row>
    <row r="911">
      <c r="N911" s="5"/>
    </row>
    <row r="912">
      <c r="N912" s="5"/>
    </row>
    <row r="913">
      <c r="N913" s="5"/>
    </row>
    <row r="914">
      <c r="N914" s="5"/>
    </row>
    <row r="915">
      <c r="N915" s="5"/>
    </row>
    <row r="916">
      <c r="N916" s="5"/>
    </row>
    <row r="917">
      <c r="N917" s="5"/>
    </row>
    <row r="918">
      <c r="N918" s="5"/>
    </row>
    <row r="919">
      <c r="N919" s="5"/>
    </row>
    <row r="920">
      <c r="N920" s="5"/>
    </row>
    <row r="921">
      <c r="N921" s="5"/>
    </row>
    <row r="922">
      <c r="N922" s="5"/>
    </row>
    <row r="923">
      <c r="N923" s="5"/>
    </row>
    <row r="924">
      <c r="N924" s="5"/>
    </row>
    <row r="925">
      <c r="N925" s="5"/>
    </row>
    <row r="926">
      <c r="N926" s="5"/>
    </row>
    <row r="927">
      <c r="N927" s="5"/>
    </row>
    <row r="928">
      <c r="N928" s="5"/>
    </row>
    <row r="929">
      <c r="N929" s="5"/>
    </row>
    <row r="930">
      <c r="N930" s="5"/>
    </row>
    <row r="931">
      <c r="N931" s="5"/>
    </row>
    <row r="932">
      <c r="N932" s="5"/>
    </row>
    <row r="933">
      <c r="N933" s="5"/>
    </row>
    <row r="934">
      <c r="N934" s="5"/>
    </row>
    <row r="935">
      <c r="N935" s="5"/>
    </row>
    <row r="936">
      <c r="N936" s="5"/>
    </row>
    <row r="937">
      <c r="N937" s="5"/>
    </row>
    <row r="938">
      <c r="N938" s="5"/>
    </row>
    <row r="939">
      <c r="N939" s="5"/>
    </row>
    <row r="940">
      <c r="N940" s="5"/>
    </row>
    <row r="941">
      <c r="N941" s="5"/>
    </row>
    <row r="942">
      <c r="N942" s="5"/>
    </row>
    <row r="943">
      <c r="N943" s="5"/>
    </row>
    <row r="944">
      <c r="N944" s="5"/>
    </row>
    <row r="945">
      <c r="N945" s="5"/>
    </row>
    <row r="946">
      <c r="N946" s="5"/>
    </row>
    <row r="947">
      <c r="N947" s="5"/>
    </row>
    <row r="948">
      <c r="N948" s="5"/>
    </row>
    <row r="949">
      <c r="N949" s="5"/>
    </row>
    <row r="950">
      <c r="N950" s="5"/>
    </row>
    <row r="951">
      <c r="N951" s="5"/>
    </row>
    <row r="952">
      <c r="N952" s="5"/>
    </row>
    <row r="953">
      <c r="N953" s="5"/>
    </row>
    <row r="954">
      <c r="N954" s="5"/>
    </row>
    <row r="955">
      <c r="N955" s="5"/>
    </row>
    <row r="956">
      <c r="N956" s="5"/>
    </row>
    <row r="957">
      <c r="N957" s="5"/>
    </row>
    <row r="958">
      <c r="N958" s="5"/>
    </row>
    <row r="959">
      <c r="N959" s="5"/>
    </row>
    <row r="960">
      <c r="N960" s="5"/>
    </row>
    <row r="961">
      <c r="N961" s="5"/>
    </row>
    <row r="962">
      <c r="N962" s="5"/>
    </row>
    <row r="963">
      <c r="N963" s="5"/>
    </row>
    <row r="964">
      <c r="N964" s="5"/>
    </row>
    <row r="965">
      <c r="N965" s="5"/>
    </row>
    <row r="966">
      <c r="N966" s="5"/>
    </row>
    <row r="967">
      <c r="N967" s="5"/>
    </row>
    <row r="968">
      <c r="N968" s="5"/>
    </row>
    <row r="969">
      <c r="N969" s="5"/>
    </row>
    <row r="970">
      <c r="N970" s="5"/>
    </row>
    <row r="971">
      <c r="N971" s="5"/>
    </row>
    <row r="972">
      <c r="N972" s="5"/>
    </row>
    <row r="973">
      <c r="N973" s="5"/>
    </row>
    <row r="974">
      <c r="N974" s="5"/>
    </row>
    <row r="975">
      <c r="N975" s="5"/>
    </row>
    <row r="976">
      <c r="N976" s="5"/>
    </row>
    <row r="977">
      <c r="N977" s="5"/>
    </row>
    <row r="978">
      <c r="N978" s="5"/>
    </row>
    <row r="979">
      <c r="N979" s="5"/>
    </row>
    <row r="980">
      <c r="N980" s="5"/>
    </row>
    <row r="981">
      <c r="N981" s="5"/>
    </row>
    <row r="982">
      <c r="N982" s="5"/>
    </row>
    <row r="983">
      <c r="N983" s="5"/>
    </row>
    <row r="984">
      <c r="N984" s="5"/>
    </row>
    <row r="985">
      <c r="N985" s="5"/>
    </row>
    <row r="986">
      <c r="N986" s="5"/>
    </row>
    <row r="987">
      <c r="N987" s="5"/>
    </row>
    <row r="988">
      <c r="N988" s="5"/>
    </row>
    <row r="989">
      <c r="N989" s="5"/>
    </row>
    <row r="990">
      <c r="N990" s="5"/>
    </row>
    <row r="991">
      <c r="N991" s="5"/>
    </row>
    <row r="992">
      <c r="N992" s="5"/>
    </row>
    <row r="993">
      <c r="N993" s="5"/>
    </row>
    <row r="994">
      <c r="N994" s="5"/>
    </row>
    <row r="995">
      <c r="N995" s="5"/>
    </row>
    <row r="996">
      <c r="N996" s="5"/>
    </row>
    <row r="997">
      <c r="N997" s="5"/>
    </row>
    <row r="998">
      <c r="N998" s="5"/>
    </row>
    <row r="999">
      <c r="N999" s="5"/>
    </row>
    <row r="1000">
      <c r="N1000" s="5"/>
    </row>
    <row r="1001">
      <c r="N1001" s="5"/>
    </row>
  </sheetData>
  <drawing r:id="rId1"/>
</worksheet>
</file>